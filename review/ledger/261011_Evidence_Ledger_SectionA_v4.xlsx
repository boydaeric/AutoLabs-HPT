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ection A - Findings" sheetId="1" state="visible" r:id="rId1"/>
    <sheet xmlns:r="http://schemas.openxmlformats.org/officeDocument/2006/relationships" name="Legend" sheetId="2" state="visible" r:id="rId2"/>
  </sheets>
  <definedNames>
    <definedName name="_xlnm._FilterDatabase" localSheetId="0" hidden="1">'Section A - Findings'!$A$1:$N$275</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9"/>
    </font>
    <font>
      <name val="Arial"/>
      <charset val="1"/>
      <family val="0"/>
      <b val="1"/>
      <sz val="9"/>
    </font>
    <font>
      <name val="Arial"/>
      <charset val="1"/>
      <family val="0"/>
      <b val="1"/>
      <sz val="12"/>
    </font>
    <font>
      <name val="Arial"/>
      <charset val="1"/>
      <family val="0"/>
      <sz val="10"/>
    </font>
    <font>
      <name val="Arial"/>
      <charset val="1"/>
      <family val="0"/>
      <b val="1"/>
      <sz val="10"/>
    </font>
  </fonts>
  <fills count="3">
    <fill>
      <patternFill/>
    </fill>
    <fill>
      <patternFill patternType="gray125"/>
    </fill>
    <fill>
      <patternFill patternType="solid">
        <fgColor rgb="FF1F3864"/>
        <bgColor rgb="FF333333"/>
      </patternFill>
    </fill>
  </fills>
  <borders count="2">
    <border>
      <left/>
      <right/>
      <top/>
      <bottom/>
      <diagonal/>
    </border>
    <border>
      <left/>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3">
    <dxf>
      <fill>
        <patternFill patternType="solid">
          <fgColor rgb="FF1F3864"/>
          <bgColor rgb="FF000000"/>
        </patternFill>
      </fill>
    </dxf>
    <dxf>
      <fill>
        <patternFill patternType="solid">
          <fgColor rgb="FFD9D9D9"/>
          <bgColor rgb="FF000000"/>
        </patternFill>
      </fill>
    </dxf>
    <dxf>
      <fill>
        <patternFill patternType="solid">
          <fgColor rgb="FFF4CCCC"/>
          <bgColor rgb="FF000000"/>
        </patternFill>
      </fill>
    </dxf>
    <dxf>
      <fill>
        <patternFill patternType="solid">
          <fgColor rgb="FFFFE599"/>
          <bgColor rgb="FF000000"/>
        </patternFill>
      </fill>
    </dxf>
    <dxf>
      <fill>
        <patternFill patternType="solid">
          <bgColor rgb="FF000000"/>
        </patternFill>
      </fill>
    </dxf>
    <dxf>
      <fill>
        <patternFill patternType="solid">
          <fgColor rgb="FF595959"/>
          <bgColor rgb="FF000000"/>
        </patternFill>
      </fill>
    </dxf>
    <dxf>
      <fill>
        <patternFill patternType="solid">
          <fgColor rgb="FFFFFFFF"/>
          <bgColor rgb="FF000000"/>
        </patternFill>
      </fill>
    </dxf>
    <dxf>
      <fill>
        <patternFill patternType="solid">
          <fgColor rgb="FFFCE4D6"/>
          <bgColor rgb="FF000000"/>
        </patternFill>
      </fill>
    </dxf>
    <dxf>
      <font>
        <b val="1"/>
      </font>
      <fill>
        <patternFill>
          <bgColor rgb="FFFCE4D6"/>
        </patternFill>
      </fill>
    </dxf>
    <dxf>
      <font>
        <color rgb="FF595959"/>
      </font>
      <fill>
        <patternFill>
          <bgColor rgb="FFD9D9D9"/>
        </patternFill>
      </fill>
    </dxf>
    <dxf>
      <fill>
        <patternFill>
          <bgColor rgb="FFF4CCCC"/>
        </patternFill>
      </fill>
    </dxf>
    <dxf>
      <fill>
        <patternFill>
          <bgColor rgb="FFFFE599"/>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599"/>
      <rgbColor rgb="FF99CCFF"/>
      <rgbColor rgb="FFFF99CC"/>
      <rgbColor rgb="FFCC99FF"/>
      <rgbColor rgb="FFF4CCCC"/>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N275"/>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6" customWidth="1" style="9" min="1" max="1"/>
    <col width="10" customWidth="1" style="9" min="2" max="2"/>
    <col width="52" customWidth="1" style="9" min="3" max="3"/>
    <col width="18" customWidth="1" style="9" min="4" max="4"/>
    <col width="22" customWidth="1" style="9" min="5" max="5"/>
    <col width="30" customWidth="1" style="9" min="6" max="6"/>
    <col width="38" customWidth="1" style="9" min="7" max="7"/>
    <col width="30" customWidth="1" style="9" min="8" max="8"/>
    <col width="18" customWidth="1" style="9" min="9" max="9"/>
    <col width="16" customWidth="1" style="9" min="10" max="11"/>
    <col width="18" customWidth="1" style="9" min="12" max="12"/>
    <col width="52" customWidth="1" style="9" min="13" max="13"/>
    <col width="24" customWidth="1" style="9" min="14" max="14"/>
  </cols>
  <sheetData>
    <row r="1" ht="31.5" customHeight="1" s="10">
      <c r="A1" s="11" t="inlineStr">
        <is>
          <t>Cluster</t>
        </is>
      </c>
      <c r="B1" s="11" t="inlineStr">
        <is>
          <t>ID</t>
        </is>
      </c>
      <c r="C1" s="11" t="inlineStr">
        <is>
          <t>Claim</t>
        </is>
      </c>
      <c r="D1" s="11" t="inlineStr">
        <is>
          <t>Claim type</t>
        </is>
      </c>
      <c r="E1" s="11" t="inlineStr">
        <is>
          <t>Primary source</t>
        </is>
      </c>
      <c r="F1" s="11" t="inlineStr">
        <is>
          <t>Exact citation</t>
        </is>
      </c>
      <c r="G1" s="11" t="inlineStr">
        <is>
          <t>Quote, table or cell</t>
        </is>
      </c>
      <c r="H1" s="11" t="inlineStr">
        <is>
          <t>Measure definition</t>
        </is>
      </c>
      <c r="I1" s="11" t="inlineStr">
        <is>
          <t>Scope</t>
        </is>
      </c>
      <c r="J1" s="11" t="inlineStr">
        <is>
          <t>Time horizon</t>
        </is>
      </c>
      <c r="K1" s="11" t="inlineStr">
        <is>
          <t>Dollar basis</t>
        </is>
      </c>
      <c r="L1" s="11" t="inlineStr">
        <is>
          <t>Scenario</t>
        </is>
      </c>
      <c r="M1" s="11" t="inlineStr">
        <is>
          <t>Cross-check</t>
        </is>
      </c>
      <c r="N1" s="11" t="inlineStr">
        <is>
          <t>Status</t>
        </is>
      </c>
    </row>
    <row r="2" ht="21.75" customHeight="1" s="10">
      <c r="A2" s="12" t="inlineStr">
        <is>
          <t>1. Rule mechanics</t>
        </is>
      </c>
      <c r="B2" s="13" t="inlineStr">
        <is>
          <t>RM-01</t>
        </is>
      </c>
      <c r="C2" s="12" t="inlineStr">
        <is>
          <t>CMS-2449-P published May 22, 2026; implements WFTC Sec. 71116</t>
        </is>
      </c>
      <c r="D2" s="12" t="inlineStr">
        <is>
          <t>rule mechanic</t>
        </is>
      </c>
      <c r="E2" s="12" t="inlineStr">
        <is>
          <t>Federal Register</t>
        </is>
      </c>
      <c r="F2" s="12" t="inlineStr">
        <is>
          <t>91 FR 30400</t>
        </is>
      </c>
      <c r="G2" s="12" t="inlineStr">
        <is>
          <t>Document heading</t>
        </is>
      </c>
      <c r="H2" s="12" t="inlineStr">
        <is>
          <t>Publication fact</t>
        </is>
      </c>
      <c r="I2" s="12" t="inlineStr">
        <is>
          <t>n/a</t>
        </is>
      </c>
      <c r="J2" s="12" t="inlineStr">
        <is>
          <t>n/a</t>
        </is>
      </c>
      <c r="K2" s="12" t="inlineStr">
        <is>
          <t>n/a</t>
        </is>
      </c>
      <c r="L2" s="12" t="inlineStr">
        <is>
          <t>not scenario-dependent</t>
        </is>
      </c>
      <c r="M2" s="12" t="inlineStr">
        <is>
          <t>P1 output: FR entry and docket CMS-2026-1916 confirmed</t>
        </is>
      </c>
      <c r="N2" s="12" t="inlineStr">
        <is>
          <t>verified</t>
        </is>
      </c>
    </row>
    <row r="3" ht="95.25" customHeight="1" s="10">
      <c r="A3" s="12" t="inlineStr">
        <is>
          <t>1. Rule mechanics</t>
        </is>
      </c>
      <c r="B3" s="13" t="inlineStr">
        <is>
          <t>RM-02</t>
        </is>
      </c>
      <c r="C3" s="12" t="inlineStr">
        <is>
          <t>SDPs for inpatient hospital, outpatient hospital, nursing facility and academic medical center practitioner services are capped at 100% of Medicare rates in expansion states and 110% elsewhere</t>
        </is>
      </c>
      <c r="D3" s="12" t="inlineStr">
        <is>
          <t>rule mechanic [E]</t>
        </is>
      </c>
      <c r="E3" s="12" t="inlineStr">
        <is>
          <t>Section 71116 (P.L. 119-21) / CMS-2449-P</t>
        </is>
      </c>
      <c r="F3" s="12" t="inlineStr">
        <is>
          <t>Note sec. 1 (SDP table: 'Required by the OBBBA (Section 71116)'); 91 FR 30400 et seq.</t>
        </is>
      </c>
      <c r="G3" s="12" t="inlineStr">
        <is>
          <t>Note sec. 1, SDP table</t>
        </is>
      </c>
      <c r="H3" s="12" t="inlineStr">
        <is>
          <t>Payment ceiling as a percentage of Medicare</t>
        </is>
      </c>
      <c r="I3" s="12" t="inlineStr">
        <is>
          <t>state level</t>
        </is>
      </c>
      <c r="J3" s="12" t="inlineStr">
        <is>
          <t>prospective</t>
        </is>
      </c>
      <c r="K3" s="12" t="inlineStr">
        <is>
          <t>n/a</t>
        </is>
      </c>
      <c r="L3" s="12" t="inlineStr">
        <is>
          <t>not scenario-dependent</t>
        </is>
      </c>
      <c r="M3" s="12" t="inlineStr">
        <is>
          <t>P1 ("Medicare-based limits"); C4 non_expansion_note carries the 110% cap on all 10 non-expansion rows UPDATED October 11, 2026: v17 attributes the cap to the statute (Section 71116) and names the four service categories it covers; the 110% figure for non-expansion states is unchanged. Extension of the cap to other services is CMS's addition (CE-06). Rule text not re-read for this ledger. Previous wording: 'SDP payments capped at 100% of Medicare in expansion states, 110% in non-expansion states'</t>
        </is>
      </c>
      <c r="N3" s="12" t="inlineStr">
        <is>
          <t>verified</t>
        </is>
      </c>
    </row>
    <row r="4" ht="105.75" customHeight="1" s="10">
      <c r="A4" s="12" t="inlineStr">
        <is>
          <t>1. Rule mechanics</t>
        </is>
      </c>
      <c r="B4" s="13" t="inlineStr">
        <is>
          <t>RM-03</t>
        </is>
      </c>
      <c r="C4" s="12" t="inlineStr">
        <is>
          <t>Grandfathered SDPs (approved, or sought through a documented good-faith effort, before May 1, 2025) may continue above the cap, then phase down by 10 percentage points a year, starting with each state's first managed care rating period on or after January 1, 2028</t>
        </is>
      </c>
      <c r="D4" s="12" t="inlineStr">
        <is>
          <t>rule mechanic [E]</t>
        </is>
      </c>
      <c r="E4" s="12" t="inlineStr">
        <is>
          <t>Section 71116 (P.L. 119-21) / CMS-2449-P</t>
        </is>
      </c>
      <c r="F4" s="12" t="inlineStr">
        <is>
          <t>Note sec. 1 (SDP table), sec. 7 step 1; Section 71116; 91 FR 30400 et seq.</t>
        </is>
      </c>
      <c r="G4" s="12" t="inlineStr">
        <is>
          <t>Note sec. 1 (SDP table: 'Required by the OBBBA (Section 71116)'); sec. 7, step 1</t>
        </is>
      </c>
      <c r="H4" s="12" t="inlineStr">
        <is>
          <t>Annual reduction in the grandfathered ceiling, and when it starts</t>
        </is>
      </c>
      <c r="I4" s="12" t="inlineStr">
        <is>
          <t>grandfathered SDPs, by state rating period</t>
        </is>
      </c>
      <c r="J4" s="12" t="inlineStr">
        <is>
          <t>from each state's first managed care rating period on or after January 1, 2028</t>
        </is>
      </c>
      <c r="K4" s="12" t="inlineStr">
        <is>
          <t>n/a</t>
        </is>
      </c>
      <c r="L4" s="12" t="inlineStr">
        <is>
          <t>not scenario-dependent</t>
        </is>
      </c>
      <c r="M4" s="12" t="inlineStr">
        <is>
          <t>none located in the available outputs UPDATED October 11, 2026: v17 attributes the schedule to the statute and starts it at each state's first managed care rating period on or after January 1, 2028 (the period for which a state sets its plans' payment rates), not at FFY2028. AC-16 and the superseded AC-04 carry the older 'FFY2028' wording. No verification row covers the rating-period start. Applies in all states, not only expansion states (Group D, sec. 6). Previous wording: 'Grandfathered arrangements phase down 10 percentage points per year beginning FFY2028'</t>
        </is>
      </c>
      <c r="N4" s="12" t="inlineStr">
        <is>
          <t>single-source</t>
        </is>
      </c>
    </row>
    <row r="5" ht="95.25" customHeight="1" s="10">
      <c r="A5" s="12" t="inlineStr">
        <is>
          <t>1. Rule mechanics</t>
        </is>
      </c>
      <c r="B5" s="13" t="inlineStr">
        <is>
          <t>RM-04</t>
        </is>
      </c>
      <c r="C5" s="12" t="inlineStr">
        <is>
          <t>The comment period on CMS-2449-P (docket CMS-2026-1916) closed on schedule on July 21, 2026</t>
        </is>
      </c>
      <c r="D5" s="12" t="inlineStr">
        <is>
          <t>contextual [E]</t>
        </is>
      </c>
      <c r="E5" s="12" t="inlineStr">
        <is>
          <t>regulations.gov</t>
        </is>
      </c>
      <c r="F5" s="12" t="inlineStr">
        <is>
          <t>Docket CMS-2026-1916; note App. I (dates); federalregister.gov record for 2026-10292 (comments_close_on 2026-07-21)</t>
        </is>
      </c>
      <c r="G5" s="12" t="inlineStr">
        <is>
          <t>Note App. I, 'Draft note, dates and bills'</t>
        </is>
      </c>
      <c r="H5" s="12" t="inlineStr">
        <is>
          <t>Docket close date</t>
        </is>
      </c>
      <c r="I5" s="12" t="inlineStr">
        <is>
          <t>n/a</t>
        </is>
      </c>
      <c r="J5" s="12" t="inlineStr">
        <is>
          <t>closed July 21, 2026</t>
        </is>
      </c>
      <c r="K5" s="12" t="inlineStr">
        <is>
          <t>n/a</t>
        </is>
      </c>
      <c r="L5" s="12" t="inlineStr">
        <is>
          <t>not scenario-dependent</t>
        </is>
      </c>
      <c r="M5" s="12" t="inlineStr">
        <is>
          <t>P1 output, checked against regulations.gov as a primary source UPDATED October 11, 2026: v17 no longer says '6,344 comments posted'. App. I gives the posted counts collected October 7, 2026 as 960 as filed / 961 corrected, and treats 6,344 as the Federal Register's own count, which does not say what it counts. The counts are ledgered at RM-34 and RM-35. The close date is confirmed by the Federal Register record (verification summary, F-003). Previous wording: 'Comment period closed on schedule July 21, 2026; 6,344 comments posted'</t>
        </is>
      </c>
      <c r="N5" s="12" t="inlineStr">
        <is>
          <t>verified — close date; the 6,344 count is restated at RM-34 and RM-35</t>
        </is>
      </c>
    </row>
    <row r="6" ht="21.75" customHeight="1" s="10">
      <c r="A6" s="12" t="inlineStr">
        <is>
          <t>1. Rule mechanics</t>
        </is>
      </c>
      <c r="B6" s="13" t="inlineStr">
        <is>
          <t>RM-05</t>
        </is>
      </c>
      <c r="C6" s="12" t="inlineStr">
        <is>
          <t>CMS-2452-P published July 23, 2026; implements Sec. 71115</t>
        </is>
      </c>
      <c r="D6" s="12" t="inlineStr">
        <is>
          <t>rule mechanic</t>
        </is>
      </c>
      <c r="E6" s="12" t="inlineStr">
        <is>
          <t>Federal Register</t>
        </is>
      </c>
      <c r="F6" s="12" t="inlineStr">
        <is>
          <t>91 FR 46562</t>
        </is>
      </c>
      <c r="G6" s="12" t="inlineStr">
        <is>
          <t>Document heading</t>
        </is>
      </c>
      <c r="H6" s="12" t="inlineStr">
        <is>
          <t>Publication fact</t>
        </is>
      </c>
      <c r="I6" s="12" t="inlineStr">
        <is>
          <t>n/a</t>
        </is>
      </c>
      <c r="J6" s="12" t="inlineStr">
        <is>
          <t>n/a</t>
        </is>
      </c>
      <c r="K6" s="12" t="inlineStr">
        <is>
          <t>n/a</t>
        </is>
      </c>
      <c r="L6" s="12" t="inlineStr">
        <is>
          <t>not scenario-dependent</t>
        </is>
      </c>
      <c r="M6" s="12" t="inlineStr">
        <is>
          <t>P1 output</t>
        </is>
      </c>
      <c r="N6" s="12" t="inlineStr">
        <is>
          <t>verified</t>
        </is>
      </c>
    </row>
    <row r="7" ht="42.75" customHeight="1" s="10">
      <c r="A7" s="12" t="inlineStr">
        <is>
          <t>1. Rule mechanics</t>
        </is>
      </c>
      <c r="B7" s="13" t="inlineStr">
        <is>
          <t>RM-06</t>
        </is>
      </c>
      <c r="C7" s="12" t="inlineStr">
        <is>
          <t>The rule freezes new provider taxes</t>
        </is>
      </c>
      <c r="D7" s="12" t="inlineStr">
        <is>
          <t>rule mechanic</t>
        </is>
      </c>
      <c r="E7" s="12" t="inlineStr">
        <is>
          <t>CMS-2452-P</t>
        </is>
      </c>
      <c r="F7" s="12" t="inlineStr">
        <is>
          <t>91 FR 46562 et seq.</t>
        </is>
      </c>
      <c r="G7" s="12" t="inlineStr">
        <is>
          <t>Note sec. 1</t>
        </is>
      </c>
      <c r="H7" s="12" t="inlineStr">
        <is>
          <t>Prohibition on new health-care-related taxes</t>
        </is>
      </c>
      <c r="I7" s="12" t="inlineStr">
        <is>
          <t>all states</t>
        </is>
      </c>
      <c r="J7" s="12" t="inlineStr">
        <is>
          <t>from enactment</t>
        </is>
      </c>
      <c r="K7" s="12" t="inlineStr">
        <is>
          <t>n/a</t>
        </is>
      </c>
      <c r="L7" s="12" t="inlineStr">
        <is>
          <t>not scenario-dependent</t>
        </is>
      </c>
      <c r="M7" s="12" t="inlineStr">
        <is>
          <t>C4 non_expansion_note states the freeze reaches non-expansion states; P1 UPDATED September 27, 2026: the note now states that the freeze covers rate increases as well as new taxes; that limb is ledgered at RM-27</t>
        </is>
      </c>
      <c r="N7" s="12" t="inlineStr">
        <is>
          <t>verified</t>
        </is>
      </c>
    </row>
    <row r="8" ht="84.75" customHeight="1" s="10">
      <c r="A8" s="12" t="inlineStr">
        <is>
          <t>1. Rule mechanics</t>
        </is>
      </c>
      <c r="B8" s="13" t="inlineStr">
        <is>
          <t>RM-07</t>
        </is>
      </c>
      <c r="C8" s="12" t="inlineStr">
        <is>
          <t>Indirect hold harmless threshold steps 6.0% now, 5.5% FFY2028, 5.0% FFY2029, 4.5% FFY2030, 4.0% FFY2031, 3.5% FFY2032+</t>
        </is>
      </c>
      <c r="D8" s="12" t="inlineStr">
        <is>
          <t>rule mechanic</t>
        </is>
      </c>
      <c r="E8" s="12" t="inlineStr">
        <is>
          <t>CMS-2452-P</t>
        </is>
      </c>
      <c r="F8" s="12" t="inlineStr">
        <is>
          <t>91 FR 46562 et seq.</t>
        </is>
      </c>
      <c r="G8" s="12" t="inlineStr">
        <is>
          <t>Note sec. 1</t>
        </is>
      </c>
      <c r="H8" s="12" t="inlineStr">
        <is>
          <t>Safe-harbor threshold, percent of net patient revenue</t>
        </is>
      </c>
      <c r="I8" s="12" t="inlineStr">
        <is>
          <t>expansion states only</t>
        </is>
      </c>
      <c r="J8" s="12" t="inlineStr">
        <is>
          <t>FFY2028–2032+</t>
        </is>
      </c>
      <c r="K8" s="12" t="inlineStr">
        <is>
          <t>n/a</t>
        </is>
      </c>
      <c r="L8" s="12" t="inlineStr">
        <is>
          <t>not scenario-dependent</t>
        </is>
      </c>
      <c r="M8" s="12" t="inlineStr">
        <is>
          <t>SUPERSEDED September 27, 2026. The row records the first step of the schedule as '6.0% now'. The note's threshold table now gives FFY2027 as 'the state's July 4, 2025 level (at most 6.0%)', so a state's FFY2027 threshold may be below 6.0%. Removed or reversed by: the revisions since the September 22, 2026 sync (four revisions, ending at v9); the supplied materials do not identify which of the four. Replaced by: RM-28. Original cross-check, retained for the record: none located in the available outputs</t>
        </is>
      </c>
      <c r="N8" s="12" t="inlineStr">
        <is>
          <t>SUPERSEDED — FFY2027 step restated; replaced by RM-28</t>
        </is>
      </c>
    </row>
    <row r="9" ht="21.75" customHeight="1" s="10">
      <c r="A9" s="12" t="inlineStr">
        <is>
          <t>1. Rule mechanics</t>
        </is>
      </c>
      <c r="B9" s="13" t="inlineStr">
        <is>
          <t>RM-08</t>
        </is>
      </c>
      <c r="C9" s="12" t="inlineStr">
        <is>
          <t>The threshold phase-down applies to expansion states only</t>
        </is>
      </c>
      <c r="D9" s="12" t="inlineStr">
        <is>
          <t>rule mechanic</t>
        </is>
      </c>
      <c r="E9" s="12" t="inlineStr">
        <is>
          <t>CMS-2452-P / Sec. 71115</t>
        </is>
      </c>
      <c r="F9" s="12" t="inlineStr">
        <is>
          <t>91 FR 46562</t>
        </is>
      </c>
      <c r="G9" s="12" t="inlineStr">
        <is>
          <t>Note sec. 1, sec. 4</t>
        </is>
      </c>
      <c r="H9" s="12" t="inlineStr">
        <is>
          <t>Applicability restriction</t>
        </is>
      </c>
      <c r="I9" s="12" t="inlineStr">
        <is>
          <t>expansion states</t>
        </is>
      </c>
      <c r="J9" s="12" t="inlineStr">
        <is>
          <t>prospective</t>
        </is>
      </c>
      <c r="K9" s="12" t="inlineStr">
        <is>
          <t>n/a</t>
        </is>
      </c>
      <c r="L9" s="12" t="inlineStr">
        <is>
          <t>not scenario-dependent</t>
        </is>
      </c>
      <c r="M9" s="12" t="inlineStr">
        <is>
          <t>C4 deliverable: all 10 non-expansion rows read "N/A - not assessed (non-expansion state)" with the same explanation</t>
        </is>
      </c>
      <c r="N9" s="12" t="inlineStr">
        <is>
          <t>verified</t>
        </is>
      </c>
    </row>
    <row r="10" ht="63.75" customHeight="1" s="10">
      <c r="A10" s="12" t="inlineStr">
        <is>
          <t>1. Rule mechanics</t>
        </is>
      </c>
      <c r="B10" s="13" t="inlineStr">
        <is>
          <t>RM-09</t>
        </is>
      </c>
      <c r="C10" s="12" t="inlineStr">
        <is>
          <t>The comment period on CMS-2452-P (docket CMS-2026-2476) closed on September 21, 2026</t>
        </is>
      </c>
      <c r="D10" s="12" t="inlineStr">
        <is>
          <t>contextual [E]</t>
        </is>
      </c>
      <c r="E10" s="12" t="inlineStr">
        <is>
          <t>regulations.gov / FR</t>
        </is>
      </c>
      <c r="F10" s="12" t="inlineStr">
        <is>
          <t>Docket CMS-2026-2476; note App. I (dates)</t>
        </is>
      </c>
      <c r="G10" s="12" t="inlineStr">
        <is>
          <t>Note App. I, 'Draft note, dates and bills'</t>
        </is>
      </c>
      <c r="H10" s="12" t="inlineStr">
        <is>
          <t>Docket close date</t>
        </is>
      </c>
      <c r="I10" s="12" t="inlineStr">
        <is>
          <t>n/a</t>
        </is>
      </c>
      <c r="J10" s="12" t="inlineStr">
        <is>
          <t>closed September 21, 2026</t>
        </is>
      </c>
      <c r="K10" s="12" t="inlineStr">
        <is>
          <t>n/a</t>
        </is>
      </c>
      <c r="L10" s="12" t="inlineStr">
        <is>
          <t>not scenario-dependent</t>
        </is>
      </c>
      <c r="M10" s="12" t="inlineStr">
        <is>
          <t>P1 output: window open, 20 comments posted as of Sept 5, 2026 UPDATED October 11, 2026: v17 states the close date in the past tense (App. I) and no longer says the window 'was open at publication'. Posted counts for the docket are at RM-34. Previous wording: 'CMS-2452-P's comment period closes Sept 21, 2026 and was open at publication'</t>
        </is>
      </c>
      <c r="N10" s="12" t="inlineStr">
        <is>
          <t>verified</t>
        </is>
      </c>
    </row>
    <row r="11" ht="137.25" customHeight="1" s="10">
      <c r="A11" s="12" t="inlineStr">
        <is>
          <t>1. Rule mechanics</t>
        </is>
      </c>
      <c r="B11" s="13" t="inlineStr">
        <is>
          <t>RM-10</t>
        </is>
      </c>
      <c r="C11" s="12" t="inlineStr">
        <is>
          <t>Neither RIN (0938-AV69, CMS-2449-P; 0938-AV93, CMS-2452-P) appeared on OIRA's list of regulatory actions under review as of Sept 21, 2026</t>
        </is>
      </c>
      <c r="D11" s="12" t="inlineStr">
        <is>
          <t>negative claim</t>
        </is>
      </c>
      <c r="E11" s="12" t="inlineStr">
        <is>
          <t>reginfo.gov</t>
        </is>
      </c>
      <c r="F11" s="12" t="inlineStr">
        <is>
          <t>eoReviewSearch, checked against the Sept 21, 2026 list (note status box); the note's sec. 1 retains the original Sept 5, 2026 check</t>
        </is>
      </c>
      <c r="G11" s="12" t="inlineStr">
        <is>
          <t>Absence from list</t>
        </is>
      </c>
      <c r="H11" s="12" t="inlineStr">
        <is>
          <t>Regulatory review status</t>
        </is>
      </c>
      <c r="I11" s="12" t="inlineStr">
        <is>
          <t>federal</t>
        </is>
      </c>
      <c r="J11" s="12" t="inlineStr">
        <is>
          <t>as of Sept 21, 2026</t>
        </is>
      </c>
      <c r="K11" s="12" t="inlineStr">
        <is>
          <t>n/a</t>
        </is>
      </c>
      <c r="L11" s="12" t="inlineStr">
        <is>
          <t>not scenario-dependent</t>
        </is>
      </c>
      <c r="M11" s="12" t="inlineStr">
        <is>
          <t>RE-DATED in the Sept 22, 2026 currency check: both RINs absent from the Sept 21, 2026 list. RIN 0938-AV69 confirmed on reginfo.gov as CMS-2449-P; 0938-AV93 is CMS-2452-P. The original Sept 5, 2026 check (P1 output, both RINs) is superseded as to date only. CMS-2450 (RIN 0938-AV70), a separate rule, has been under review since May 12, 2026 and is disclosed in the status box; see M-6 UPDATED October 11, 2026: v17 states no White House review status for either RIN: sec. 9 item 3 describes only what an arrival for review would signal, and the App. I heading 'Status as of [DATE]: White House review, CMS-2450 …' has no text under it. The September 21, 2026 check is therefore stale against the October 2026 draft and is not restated in the note.</t>
        </is>
      </c>
      <c r="N11" s="12" t="inlineStr">
        <is>
          <t>verified as scoped — see C-6; perishable — NEEDS VERIFICATION [DL3] reginfo.gov and the White House review status are on the decision-log re-check list (sec. 9 items 3–4; App. I); re-run the OIRA list check at the date the note fills in.</t>
        </is>
      </c>
    </row>
    <row r="12" ht="126.75" customHeight="1" s="10">
      <c r="A12" s="12" t="inlineStr">
        <is>
          <t>1. Rule mechanics</t>
        </is>
      </c>
      <c r="B12" s="13" t="inlineStr">
        <is>
          <t>RM-11</t>
        </is>
      </c>
      <c r="C12" s="12" t="inlineStr">
        <is>
          <t>SDPs that needed CMS's written prior approval totaled an estimated $143.8B in the federal fiscal year ending September 30, 2025</t>
        </is>
      </c>
      <c r="D12" s="12" t="inlineStr">
        <is>
          <t>CMS estimate [E]</t>
        </is>
      </c>
      <c r="E12" s="12" t="inlineStr">
        <is>
          <t>CMS-2449-P RIA</t>
        </is>
      </c>
      <c r="F12" s="12" t="inlineStr">
        <is>
          <t>91 FR 30447; R0977; note sec. 1 (SDP paragraph)</t>
        </is>
      </c>
      <c r="G12" s="12" t="inlineStr">
        <is>
          <t>Note sec. 1</t>
        </is>
      </c>
      <c r="H12" s="12" t="inlineStr">
        <is>
          <t>Total prior-approval SDP spending in one year</t>
        </is>
      </c>
      <c r="I12" s="12" t="inlineStr">
        <is>
          <t>total computable; SDPs needing a preprint</t>
        </is>
      </c>
      <c r="J12" s="12" t="inlineStr">
        <is>
          <t>FFY2025 (year ending September 30, 2025)</t>
        </is>
      </c>
      <c r="K12" s="12" t="inlineStr">
        <is>
          <t>unstated</t>
        </is>
      </c>
      <c r="L12" s="12" t="inlineStr">
        <is>
          <t>not scenario-dependent</t>
        </is>
      </c>
      <c r="M12" s="12" t="inlineStr">
        <is>
          <t>none located; worksheet row not re-verified UPDATED September 27, 2026: R0977 confirms the $143.8B and CMS's qualification that it excludes SDPs requiring no preprint, which the note now states. The 14% share is not in the worksheet UPDATED October 11, 2026: v17 states the $143.8B with CMS's qualification that it covers SDPs needing CMS's written prior approval, and no longer states the 14% share of Medicaid benefit spending. Citation check confirmed the base at 91 FR 30447 ($143.8B, FFY2025, excluding SDPs needing no preprint; not split into federal and state shares). Previous wording: 'SDP arrangements totaled approximately $143.8B in FFY2025, roughly 14% of Medicaid benefit spending'</t>
        </is>
      </c>
      <c r="N12" s="12" t="inlineStr">
        <is>
          <t>verified — base confirmed at 91 FR 30447 (Citation check); worksheet R0977 matches</t>
        </is>
      </c>
    </row>
    <row r="13" ht="147.75" customHeight="1" s="10">
      <c r="A13" s="12" t="inlineStr">
        <is>
          <t>1. Rule mechanics</t>
        </is>
      </c>
      <c r="B13" s="13" t="inlineStr">
        <is>
          <t>RM-12</t>
        </is>
      </c>
      <c r="C13" s="12" t="inlineStr">
        <is>
          <t>Hospitals received 87.5% of the estimated $143.8B in prior-approval SDPs in FFY2025. That is a share of one year's payments, not of the projected cuts</t>
        </is>
      </c>
      <c r="D13" s="12" t="inlineStr">
        <is>
          <t>CMS estimate [E]/[I]</t>
        </is>
      </c>
      <c r="E13" s="12" t="inlineStr">
        <is>
          <t>CMS-2449-P RIA</t>
        </is>
      </c>
      <c r="F13" s="12" t="inlineStr">
        <is>
          <t>91 FR 30447 (RIA, '3. Transfers', 'a. State Directed Payments (SDPs) (§ 438.6)'); note sec. 1</t>
        </is>
      </c>
      <c r="G13" s="12" t="inlineStr">
        <is>
          <t>Note sec. 1: 'hospitals received 87.5 percent of the estimated $143.8 billion in SDPs that needed CMS's written prior approval'</t>
        </is>
      </c>
      <c r="H13" s="12" t="inlineStr">
        <is>
          <t>Hospitals' share of one year's prior-approval SDP dollars</t>
        </is>
      </c>
      <c r="I13" s="12" t="inlineStr">
        <is>
          <t>total computable</t>
        </is>
      </c>
      <c r="J13" s="12" t="inlineStr">
        <is>
          <t>FFY2025</t>
        </is>
      </c>
      <c r="K13" s="12" t="inlineStr">
        <is>
          <t>share, not dollars</t>
        </is>
      </c>
      <c r="L13" s="12" t="inlineStr">
        <is>
          <t>not scenario-dependent</t>
        </is>
      </c>
      <c r="M13" s="12" t="inlineStr">
        <is>
          <t>Internal: the four named classes sum to 98.5%; the note now assigns the remaining 1.5% to 'other provider types', so the shares sum to 100% UPDATED October 11, 2026: v17 states only the hospital share. The shares for academic medical centers (4.9%), physicians (3.6%), nursing facilities (2.5%) and other providers (1.5%) are no longer note claims and remain true to the CMS passage (Citation check quotes 87.5, 4.9, 3.6 and 2.5). The second sentence is v17's [I] reading; Citation check: the 87.5% is hospitals' share of preprint-reviewed SDPs in one year, not of all SDP spending and not of the projected cuts. Previous wording: 'FFY2025 SDP dollars: hospitals 87.5%, academic medical centers 4.9%, physicians 3.6%, nursing facilities 2.5%; the remaining 1.5% went to other provider types'</t>
        </is>
      </c>
      <c r="N13" s="12" t="inlineStr">
        <is>
          <t>verified — Citation check, 91 FR 30447</t>
        </is>
      </c>
    </row>
    <row r="14" ht="147.75" customHeight="1" s="10">
      <c r="A14" s="12" t="inlineStr">
        <is>
          <t>1. Rule mechanics</t>
        </is>
      </c>
      <c r="B14" s="13" t="inlineStr">
        <is>
          <t>RM-13</t>
        </is>
      </c>
      <c r="C14" s="12" t="inlineStr">
        <is>
          <t>Between 80% and 90% of SDPs relied entirely or partly on provider taxes or IGTs by the end of 2025, on CMS's preprint data</t>
        </is>
      </c>
      <c r="D14" s="12" t="inlineStr">
        <is>
          <t>CMS estimate [E]</t>
        </is>
      </c>
      <c r="E14" s="12" t="inlineStr">
        <is>
          <t>CMS-2449-P RIA</t>
        </is>
      </c>
      <c r="F14" s="12" t="inlineStr">
        <is>
          <t>91 FR 30452; note sec. 2, App. C</t>
        </is>
      </c>
      <c r="G14" s="12" t="inlineStr">
        <is>
          <t>Note sec. 2</t>
        </is>
      </c>
      <c r="H14" s="12" t="inlineStr">
        <is>
          <t>Share of SDP arrangements by financing source</t>
        </is>
      </c>
      <c r="I14" s="12" t="inlineStr">
        <is>
          <t>arrangement level</t>
        </is>
      </c>
      <c r="J14" s="12" t="inlineStr">
        <is>
          <t>by the end of 2025</t>
        </is>
      </c>
      <c r="K14" s="12" t="inlineStr">
        <is>
          <t>share</t>
        </is>
      </c>
      <c r="L14" s="12" t="inlineStr">
        <is>
          <t>not scenario-dependent</t>
        </is>
      </c>
      <c r="M14" s="12" t="inlineStr">
        <is>
          <t>Related to but distinct from the 65% parameter at CE-49 (formerly CE-20); the two are not the same measure and should not be reconciled to each other UPDATED September 27, 2026: citation moved to 91 FR 30452 to match the note. No worksheet row: the worksheet transcribes quantitative estimates and has none for this share UPDATED October 11, 2026: v17 words the claim as 'SDPs' (not 'SDP arrangements'), 'by the end of 2025, on CMS's preprint data', and points to App. C, where the financing shares for SDPs above 100% of Medicare are at CE-80. The 91 FR 30452 pinpoint was read from the Federal Register text in the new-text check and is not confirmed by the Citation check or a verification row. Previous wording: 'Between 80% and 90% of SDPs relied entirely or in part on provider taxes or intergovernmental transfers' VERIFIED October 13, 2026 (verification_v4_log.md): 91 FR 30452 read in the CMS-2449-P, govinfo PDF (FR Doc. 2026-10292); the wording matches v17 sec. 2 by script.</t>
        </is>
      </c>
      <c r="N14" s="12" t="inlineStr">
        <is>
          <t>verified with caveat — re-checked October 13, 2026: 91 FR 30452 matches (80 to 90 percent of SDPs, by the end of 2025, on SDP preprint data).</t>
        </is>
      </c>
    </row>
    <row r="15" ht="74.25" customHeight="1" s="10">
      <c r="A15" s="12" t="inlineStr">
        <is>
          <t>1. Rule mechanics</t>
        </is>
      </c>
      <c r="B15" s="13" t="inlineStr">
        <is>
          <t>RM-14</t>
        </is>
      </c>
      <c r="C15" s="12" t="inlineStr">
        <is>
          <t>Provider taxes would raise $98.6B for states in CY2026, about 26% of roughly $376B in projected state Medicaid medical assistance spending</t>
        </is>
      </c>
      <c r="D15" s="12" t="inlineStr">
        <is>
          <t>CMS estimate [E]</t>
        </is>
      </c>
      <c r="E15" s="12" t="inlineStr">
        <is>
          <t>CMS-2452-P RIA</t>
        </is>
      </c>
      <c r="F15" s="12" t="inlineStr">
        <is>
          <t>91 FR 46589; R1002, R1003; note sec. 1, App. B</t>
        </is>
      </c>
      <c r="G15" s="12" t="inlineStr">
        <is>
          <t>Narrative</t>
        </is>
      </c>
      <c r="H15" s="12" t="inlineStr">
        <is>
          <t>State tax revenue; denominator is state medical assistance spending</t>
        </is>
      </c>
      <c r="I15" s="12" t="inlineStr">
        <is>
          <t>state only</t>
        </is>
      </c>
      <c r="J15" s="12" t="inlineStr">
        <is>
          <t>CY2026</t>
        </is>
      </c>
      <c r="K15" s="12" t="inlineStr">
        <is>
          <t>unstated</t>
        </is>
      </c>
      <c r="L15" s="12" t="inlineStr">
        <is>
          <t>primary</t>
        </is>
      </c>
      <c r="M15" s="12" t="inlineStr">
        <is>
          <t>Internal: Table 4's class detail sums to exactly $98.6B UPDATED October 11, 2026: v17 states $98.6B as a projection for calendar year 2026 (sec. 1) and the 26% / $376B comparison in App. B. The calendar-year basis and the year basis generally are ledgered at CE-58. VERIFIED October 13, 2026 (verification_v4_log.md): 91 FR 46589 read in the CMS-2452-P, govinfo PDF (FR Doc. 2026-14897); $98.6 billion, calendar year 2026, 26 percent and $376 billion match by script.</t>
        </is>
      </c>
      <c r="N15" s="12" t="inlineStr">
        <is>
          <t>verified — re-checked October 13, 2026: 91 FR 46589 matches ($98.6 billion for calendar year 2026; about 26 percent of about $376 billion).</t>
        </is>
      </c>
    </row>
    <row r="16" ht="21.75" customHeight="1" s="10">
      <c r="A16" s="12" t="inlineStr">
        <is>
          <t>1. Rule mechanics</t>
        </is>
      </c>
      <c r="B16" s="13" t="inlineStr">
        <is>
          <t>RM-15</t>
        </is>
      </c>
      <c r="C16" s="12" t="inlineStr">
        <is>
          <t>2026 provider tax revenue by class: hospitals $61.8B, MCOs $28.1B, nursing and intermediate care $7.3B, all other $1.4B</t>
        </is>
      </c>
      <c r="D16" s="12" t="inlineStr">
        <is>
          <t>CMS estimate</t>
        </is>
      </c>
      <c r="E16" s="12" t="inlineStr">
        <is>
          <t>CMS-2452-P Table 4</t>
        </is>
      </c>
      <c r="F16" s="12" t="inlineStr">
        <is>
          <t>Table 4, 91 FR 46589; R1004</t>
        </is>
      </c>
      <c r="G16" s="12" t="inlineStr">
        <is>
          <t>Table 4</t>
        </is>
      </c>
      <c r="H16" s="12" t="inlineStr">
        <is>
          <t>Tax revenue by taxed class</t>
        </is>
      </c>
      <c r="I16" s="12" t="inlineStr">
        <is>
          <t>state only</t>
        </is>
      </c>
      <c r="J16" s="12" t="inlineStr">
        <is>
          <t>CY2026</t>
        </is>
      </c>
      <c r="K16" s="12" t="inlineStr">
        <is>
          <t>unstated</t>
        </is>
      </c>
      <c r="L16" s="12" t="inlineStr">
        <is>
          <t>primary</t>
        </is>
      </c>
      <c r="M16" s="12" t="inlineStr">
        <is>
          <t>Internal: sums to $98.6B, matching RM-14 exactly</t>
        </is>
      </c>
      <c r="N16" s="12" t="inlineStr">
        <is>
          <t>verified</t>
        </is>
      </c>
    </row>
    <row r="17" ht="95.25" customHeight="1" s="10">
      <c r="A17" s="12" t="inlineStr">
        <is>
          <t>1. Rule mechanics</t>
        </is>
      </c>
      <c r="B17" s="13" t="inlineStr">
        <is>
          <t>RM-16</t>
        </is>
      </c>
      <c r="C17" s="12" t="inlineStr">
        <is>
          <t>The OBBBA gives rural hospitals until July 4, 2025, rather than May 1, 2025, for SDPs approved or sought through a documented good-faith effort, but their grandfathered payments still phase down from 2028 like other hospitals'</t>
        </is>
      </c>
      <c r="D17" s="12" t="inlineStr">
        <is>
          <t>rule mechanic [E]</t>
        </is>
      </c>
      <c r="E17" s="12" t="inlineStr">
        <is>
          <t>Section 71116 (P.L. 119-21)</t>
        </is>
      </c>
      <c r="F17" s="12" t="inlineStr">
        <is>
          <t>Note sec. 8 ('Rural hospitals have more time, not immunity'); sec. 1; Section 71116. No statutory page pinpoint in the note</t>
        </is>
      </c>
      <c r="G17" s="12" t="inlineStr">
        <is>
          <t>Note sec. 8</t>
        </is>
      </c>
      <c r="H17" s="12" t="inlineStr">
        <is>
          <t>Eligibility cutoff for grandfathering, and that the phase-down is not rural-specific</t>
        </is>
      </c>
      <c r="I17" s="12" t="inlineStr">
        <is>
          <t>facility class</t>
        </is>
      </c>
      <c r="J17" s="12" t="inlineStr">
        <is>
          <t>July 4, 2025 vs May 1, 2025; phase-down from 2028</t>
        </is>
      </c>
      <c r="K17" s="12" t="inlineStr">
        <is>
          <t>n/a</t>
        </is>
      </c>
      <c r="L17" s="12" t="inlineStr">
        <is>
          <t>not scenario-dependent</t>
        </is>
      </c>
      <c r="M17" s="12" t="inlineStr">
        <is>
          <t>none located in the available outputs UPDATED October 11, 2026: v17 attributes the rural cutoff to the statute, states it as July 4, 2025 (the date of enactment) and adds that rural hospitals' grandfathered payments phase down from 2028 like others'. The statute's page for the rural rule is on the re-check list. Previous wording: 'Rural hospitals receive a more generous grandfathering window: approval or documented good-faith effort by date of enactment, against before May 1, 2025 for all others'</t>
        </is>
      </c>
      <c r="N17" s="12" t="inlineStr">
        <is>
          <t>single-source — NEEDS VERIFICATION [DL3] Statutory page for Section 71116's rural rule is on the decision-log re-check list (sec. 8; App. B).</t>
        </is>
      </c>
    </row>
    <row r="18" ht="95.25" customHeight="1" s="10">
      <c r="A18" s="12" t="inlineStr">
        <is>
          <t>1. Rule mechanics</t>
        </is>
      </c>
      <c r="B18" s="13" t="inlineStr">
        <is>
          <t>RM-17</t>
        </is>
      </c>
      <c r="C18" s="12" t="inlineStr">
        <is>
          <t>The OBBBA's rural category covers rural acute care hospitals paid under Medicare's inpatient prospective payment system, and critical access, sole community, Medicare-dependent small rural, low-volume and rural emergency hospitals</t>
        </is>
      </c>
      <c r="D18" s="12" t="inlineStr">
        <is>
          <t>rule mechanic [E]</t>
        </is>
      </c>
      <c r="E18" s="12" t="inlineStr">
        <is>
          <t>Section 71116 (P.L. 119-21)</t>
        </is>
      </c>
      <c r="F18" s="12" t="inlineStr">
        <is>
          <t>Note App. B ('Draft note, rural hospitals'); Section 71116. No statutory page pinpoint in the note</t>
        </is>
      </c>
      <c r="G18" s="12" t="inlineStr">
        <is>
          <t>Note App. B</t>
        </is>
      </c>
      <c r="H18" s="12" t="inlineStr">
        <is>
          <t>Class definition</t>
        </is>
      </c>
      <c r="I18" s="12" t="inlineStr">
        <is>
          <t>facility class</t>
        </is>
      </c>
      <c r="J18" s="12" t="inlineStr">
        <is>
          <t>prospective</t>
        </is>
      </c>
      <c r="K18" s="12" t="inlineStr">
        <is>
          <t>n/a</t>
        </is>
      </c>
      <c r="L18" s="12" t="inlineStr">
        <is>
          <t>not scenario-dependent</t>
        </is>
      </c>
      <c r="M18" s="12" t="inlineStr">
        <is>
          <t>none located in the available outputs UPDATED October 11, 2026: v17 attributes the definition to the statute (Section 71116) and describes the first class as rural acute care hospitals paid under Medicare's inpatient prospective payment system; the earlier wording was 'rural (d) hospitals'. Previous wording: 'The rural definition covers rural (d) hospitals, critical access hospitals, sole community hospitals, Medicare-dependent small rural hospitals, low-volume hospitals and rural emergency hospitals'</t>
        </is>
      </c>
      <c r="N18" s="12" t="inlineStr">
        <is>
          <t>single-source — NEEDS VERIFICATION [DL3] Statutory page for the rural definition (Section 71116) is on the decision-log re-check list (sec. 8; App. B).</t>
        </is>
      </c>
    </row>
    <row r="19" ht="147.75" customHeight="1" s="10">
      <c r="A19" s="12" t="inlineStr">
        <is>
          <t>1. Rule mechanics</t>
        </is>
      </c>
      <c r="B19" s="13" t="inlineStr">
        <is>
          <t>RM-18</t>
        </is>
      </c>
      <c r="C19" s="12" t="inlineStr">
        <is>
          <t>Critical access, freestanding children's and certain cancer hospitals are paid on cost and have no published Medicare rate, so their cap defaults to the state Medicaid plan rate</t>
        </is>
      </c>
      <c r="D19" s="12" t="inlineStr">
        <is>
          <t>rule mechanic [E]</t>
        </is>
      </c>
      <c r="E19" s="12" t="inlineStr">
        <is>
          <t>CMS-2449-P</t>
        </is>
      </c>
      <c r="F19" s="12" t="inlineStr">
        <is>
          <t>91 FR 30450; note sec. 8</t>
        </is>
      </c>
      <c r="G19" s="12" t="inlineStr">
        <is>
          <t>Note sec. 8</t>
        </is>
      </c>
      <c r="H19" s="12" t="inlineStr">
        <is>
          <t>Applicable ceiling where no Medicare rate exists</t>
        </is>
      </c>
      <c r="I19" s="12" t="inlineStr">
        <is>
          <t>facility class</t>
        </is>
      </c>
      <c r="J19" s="12" t="inlineStr">
        <is>
          <t>prospective</t>
        </is>
      </c>
      <c r="K19" s="12" t="inlineStr">
        <is>
          <t>n/a</t>
        </is>
      </c>
      <c r="L19" s="12" t="inlineStr">
        <is>
          <t>not scenario-dependent</t>
        </is>
      </c>
      <c r="M19" s="12" t="inlineStr">
        <is>
          <t>none located in the available outputs UPDATED October 11, 2026: v17 cites 91 FR 30450 for the default and adds [I] that it 'may leave little or no room for SDPs above base rates' (AC-16). Previous wording: 'Critical access, freestanding children's and certain cancer hospitals are cost-reimbursed with no published Medicare rate, so the payment limit defaults to the State plan rate' CORRECTED October 13, 2026 (verification_v4_log.md): read 91 FR 30414 and 30450 in the CMS-2449-P, govinfo PDF (FR Doc. 2026-10292). At 30414 CMS lists CAHs, certain cancer hospitals and freestanding children's hospitals as paid by Medicare on a cost basis and proposes that the most recent Medicare cost report serve as the basis for the total published Medicare payment rate and so the SDP payment limit; it limits the state plan approved rate to providers not paid by Medicare at all, and says the payment limit for cost-paid providers would default to the State plan approved rate only under an alternative it did not propose. 91 FR 30450 (RIA) gives the general rule: the limit is the State plan approved rate where no total published Medicare payment rate exists. v17's claim that the three hospital types' cap defaults to the state plan rate, and AC-16's [I] reading built on it, do not match the proposal.</t>
        </is>
      </c>
      <c r="N19" s="12" t="inlineStr">
        <is>
          <t>corrected — source says CMS proposes, for hospitals Medicare pays on cost: “we propose to use the most recent and complete Medicare cost report … for the purpose of establishing the prospective SDP payment limit” (91 FR 30414). The state plan rate default for these hospitals is an alternative CMS considered and did not propose (91 FR 30414); 91 FR 30450 states the general default where no Medicare rate exists. v17 must rewrite sec. 8, rural ¶2 (see verification_v4_log.md). Base status was single-source. Still open — NEEDS VERIFICATION [DL3] The cost-paid cap default also sits on the citation-to-add list with Section 71116 (change map, v2 list item 2); the statutory page is still to add.</t>
        </is>
      </c>
    </row>
    <row r="20" ht="105.75" customHeight="1" s="10">
      <c r="A20" s="12" t="inlineStr">
        <is>
          <t>1. Rule mechanics</t>
        </is>
      </c>
      <c r="B20" s="13" t="inlineStr">
        <is>
          <t>RM-19</t>
        </is>
      </c>
      <c r="C20" s="12" t="inlineStr">
        <is>
          <t>CMS intends to calculate and provide to states the new threshold percentage for each permissible class no later than September 30, 2028; interim provider tax data states would file under the proposed rule for the quarter ending December 31, 2026 are the first basis for calculating a state's lower threshold; final data are due June 30, 2028</t>
        </is>
      </c>
      <c r="D20" s="12" t="inlineStr">
        <is>
          <t>rule mechanic [E]/[I]</t>
        </is>
      </c>
      <c r="E20" s="12" t="inlineStr">
        <is>
          <t>CMS-2452-P</t>
        </is>
      </c>
      <c r="F20" s="12" t="inlineStr">
        <is>
          <t>91 FR 46574 (September 30, 2028; Citation check and Round 3 item 3); 91 FR 46583 (interim data); note sec. 7 step 2, sec. 9 item 8</t>
        </is>
      </c>
      <c r="G20" s="12" t="inlineStr">
        <is>
          <t>Note sec. 7, step 2; sec. 9, item 8</t>
        </is>
      </c>
      <c r="H20" s="12" t="inlineStr">
        <is>
          <t>Regulatory timetable</t>
        </is>
      </c>
      <c r="I20" s="12" t="inlineStr">
        <is>
          <t>state and tax class</t>
        </is>
      </c>
      <c r="J20" s="12" t="inlineStr">
        <is>
          <t>2026–2028</t>
        </is>
      </c>
      <c r="K20" s="12" t="inlineStr">
        <is>
          <t>n/a</t>
        </is>
      </c>
      <c r="L20" s="12" t="inlineStr">
        <is>
          <t>not scenario-dependent</t>
        </is>
      </c>
      <c r="M20" s="12" t="inlineStr">
        <is>
          <t>none located in the available outputs UPDATED October 11, 2026: v17 words the date as an intention ('CMS intends to calculate and provide'), cites 91 FR 46574 (confirmed by the Citation check and Round 3 item 3, which also confirms the per-class sentence), and tags the interim-data limb [I] with a 91 FR 46583 cite. The earlier 'CMS-64 data' wording is not used in v17. Previous wording: 'CMS announces final state- and class-specific thresholds Sept 30, 2028; interim CMS-64 data due for the quarter ending Dec 31, 2026; final data by June 30, 2028' CORRECTED October 13, 2026 (verification_v4_log.md): 91 FR 46583 read in the CMS-2452-P, govinfo PDF (FR Doc. 2026-14897): the one-time interim report is due by December 31, 2026 and covers tax collection and net patient revenue for the SFY that contains July 4, 2025, to allow CMS to calculate an interim threshold for State planning purposes. Table 1 (91 FR 46578, read from the page image and OCR) gives the timing as 'With the CMS-64 for QE December 31, 2026' and the data as the SFY containing July 4, 2025. 91 FR 46574: final data by June 30, 2028; CMS would announce final thresholds no later than September 30, 2028 (matches).</t>
        </is>
      </c>
      <c r="N20" s="12" t="inlineStr">
        <is>
          <t>corrected — source says: “We are proposing that this information be provided by December 31, 2026, in a form and manner specified by CMS.” (91 FR 46583). The interim data cover the state fiscal year containing July 4, 2025 and let CMS calculate an interim threshold for state planning (91 FR 46583; Table 1, 91 FR 46578). They are not data for the quarter ending December 31, 2026. v17 must reword sec. 9 item 8 (see verification_v4_log.md). The 46574 limbs (September 30, 2028; June 30, 2028) match. Base status was single-source — conditional.</t>
        </is>
      </c>
    </row>
    <row r="21" ht="63.75" customHeight="1" s="10">
      <c r="A21" s="12" t="inlineStr">
        <is>
          <t>1. Rule mechanics</t>
        </is>
      </c>
      <c r="B21" s="13" t="inlineStr">
        <is>
          <t>RM-20</t>
        </is>
      </c>
      <c r="C21" s="12" t="inlineStr">
        <is>
          <t>CMS-2452-P's cross-reference misprints the SDP docket number as CMS-2249-P</t>
        </is>
      </c>
      <c r="D21" s="12" t="inlineStr">
        <is>
          <t>contextual</t>
        </is>
      </c>
      <c r="E21" s="12" t="inlineStr">
        <is>
          <t>CMS-2452-P</t>
        </is>
      </c>
      <c r="F21" s="12" t="inlineStr">
        <is>
          <t>Footnote 27, 91 FR 46592</t>
        </is>
      </c>
      <c r="G21" s="12" t="inlineStr">
        <is>
          <t>Footnote 27</t>
        </is>
      </c>
      <c r="H21" s="12" t="inlineStr">
        <is>
          <t>Typographical error in a cross-reference</t>
        </is>
      </c>
      <c r="I21" s="12" t="inlineStr">
        <is>
          <t>n/a</t>
        </is>
      </c>
      <c r="J21" s="12" t="inlineStr">
        <is>
          <t>n/a</t>
        </is>
      </c>
      <c r="K21" s="12" t="inlineStr">
        <is>
          <t>n/a</t>
        </is>
      </c>
      <c r="L21" s="12" t="inlineStr">
        <is>
          <t>not scenario-dependent</t>
        </is>
      </c>
      <c r="M21" s="12" t="inlineStr">
        <is>
          <t>Correct designation CMS-2449-P per 91 FR 30400 (P1) UPDATED October 11, 2026: v17 names the docket misprint only in the App. E heading ('CMS printing errors, citation traps and rounding (v13 footnotes 1–3, the docket misprint, the four-party Tables 12 and 14)'); no drafted note states it yet. Retained because the outline still commits to it.</t>
        </is>
      </c>
      <c r="N21" s="12" t="inlineStr">
        <is>
          <t>verified</t>
        </is>
      </c>
    </row>
    <row r="22" ht="231" customHeight="1" s="10">
      <c r="A22" s="12" t="inlineStr">
        <is>
          <t>1. Rule mechanics</t>
        </is>
      </c>
      <c r="B22" s="13" t="inlineStr">
        <is>
          <t>RM-21</t>
        </is>
      </c>
      <c r="C22" s="12" t="inlineStr">
        <is>
          <t>Docket CMS-2026-2476 (CMS-2452-P) closed on schedule on September 21, 2026</t>
        </is>
      </c>
      <c r="D22" s="12" t="inlineStr">
        <is>
          <t>contextual [E]</t>
        </is>
      </c>
      <c r="E22" s="12" t="inlineStr">
        <is>
          <t>regulations.gov; note sec. 1 (RM-04, RM-09)</t>
        </is>
      </c>
      <c r="F22" s="12" t="inlineStr">
        <is>
          <t>Docket CMS-2026-2476; note App. I (dates); counts at RM-34 and RM-35</t>
        </is>
      </c>
      <c r="G22" s="12" t="inlineStr">
        <is>
          <t>Note App. I</t>
        </is>
      </c>
      <c r="H22" s="12" t="inlineStr">
        <is>
          <t>Docket close date</t>
        </is>
      </c>
      <c r="I22" s="12" t="inlineStr">
        <is>
          <t>n/a</t>
        </is>
      </c>
      <c r="J22" s="12" t="inlineStr">
        <is>
          <t>closed September 21, 2026</t>
        </is>
      </c>
      <c r="K22" s="12" t="inlineStr">
        <is>
          <t>n/a</t>
        </is>
      </c>
      <c r="L22" s="12" t="inlineStr">
        <is>
          <t>not scenario-dependent</t>
        </is>
      </c>
      <c r="M22" s="12" t="inlineStr">
        <is>
          <t>Sept 22, 2026 currency check: the comment period closed on schedule on Sept 21, 2026. 28 comments were posted as of Sept 22, 2026 (IDs -0002 to -0029; newest posting batch Sept 14), all read. Other counts in circulation (about 45 on the Federal Register counter, about 70, and 20) came from different counters or snapshots. DECISION: the note cites no comment count for this docket, and none is needed for any claim it makes. UPDATED Sept 27, 2026: gap 6 now states the close in the past tense ('closed September 21, 2026') and says posted comments were reviewed only for the $681 billion figure; the earlier observation that gap 6 still read 'remains open', and the handoff edit 3d it referred to, no longer apply UPDATED October 11, 2026: v17 no longer says the closed CMS-2449-P docket drew 6,344 comments (see RM-04) and no longer cites 'gap 6' or a status box. The earlier DECISION that the note cites no comment count is reversed: App. I now gives counts, collected October 7, 2026 (RM-34, RM-35). The September 22 count of 28 posted comments is superseded by the October 7 snapshot of 214 as filed / 213 corrected. Previous wording: 'Docket CMS-2026-2476 closed on schedule on September 21, 2026 (status box; note sec. 6, gap 6); the closed CMS-2449-P docket (CMS-2026-1916) drew 6,344 comments'</t>
        </is>
      </c>
      <c r="N22" s="12" t="inlineStr">
        <is>
          <t>verified — docket closed; counts now given in App. I (RM-34, RM-35)</t>
        </is>
      </c>
    </row>
    <row r="23" ht="273" customHeight="1" s="10">
      <c r="A23" s="12" t="inlineStr">
        <is>
          <t>1. Rule mechanics</t>
        </is>
      </c>
      <c r="B23" s="13" t="inlineStr">
        <is>
          <t>RM-22</t>
        </is>
      </c>
      <c r="C23" s="12" t="inlineStr">
        <is>
          <t>Filings in the CMS-2452-P docket are not reflected in this analysis and may include material bearing on the findings here</t>
        </is>
      </c>
      <c r="D23" s="12" t="inlineStr">
        <is>
          <t>contextual — inference</t>
        </is>
      </c>
      <c r="E23" s="12" t="inlineStr">
        <is>
          <t>RM-21</t>
        </is>
      </c>
      <c r="F23" s="12" t="inlineStr">
        <is>
          <t>n/a</t>
        </is>
      </c>
      <c r="G23" s="12" t="inlineStr">
        <is>
          <t>Note sec. 6, gap 6; status box</t>
        </is>
      </c>
      <c r="H23" s="12" t="inlineStr">
        <is>
          <t>Logical consequence of a comment record not yet fully reviewed; not a prediction of the filings' content</t>
        </is>
      </c>
      <c r="I23" s="12" t="inlineStr">
        <is>
          <t>n/a</t>
        </is>
      </c>
      <c r="J23" s="12" t="inlineStr">
        <is>
          <t>n/a</t>
        </is>
      </c>
      <c r="K23" s="12" t="inlineStr">
        <is>
          <t>n/a</t>
        </is>
      </c>
      <c r="L23" s="12" t="inlineStr">
        <is>
          <t>not scenario-dependent</t>
        </is>
      </c>
      <c r="M23" s="12" t="inlineStr">
        <is>
          <t>SUPERSEDED October 11, 2026. The row says filings in the CMS-2452-P docket 'are not reflected in this analysis and may include material bearing on the findings here'. v17 App. C now says the provider tax rule's full posted comment record (214 comments as filed / 213 corrected) 'has now been read for the figures and claims in sec. 5, not only for the $681 billion', and App. G says the full text of every comment posted for both rules as of October 7, 2026 was searched for the $681 billion figure. Removed or reversed by: the revisions between the v9 sync and v17 (the public-comment review cycle); the supplied decision log and change map do not tie this reversal to a single revision. Replaced by: RM-34 (posted counts) and NC-17 (comment-record search). Original cross-check, retained for the record: Internal: follows directly from RM-21 and does not depend on any comment count. PARTLY DISCHARGED Sept 22, 2026: the 28 posted comments and the closing-day letters located on submitters' own sites were reviewed for the $681B figure, a multi-state net-of-tax estimate, and any reconciliation of CMS's overlap or net provider figures, and none was found (C-4, C-9). The closing-day batch not yet posted to regulations.gov was not reviewed; a post-publication re-sweep from ID -0030 is scheduled (M-1) UPDATED September 27, 2026: the note now states (status box; sec. 6, gap 6; Limitations) that posted comments were reviewed only for the $681 billion figure. The wider review recorded in this row, at NC-09 and at C-9 is ledger-only work the note does not claim or rely on</t>
        </is>
      </c>
      <c r="N23" s="12" t="inlineStr">
        <is>
          <t>SUPERSEDED — v17 reverses it: posted record read; replaced by RM-34 and NC-17</t>
        </is>
      </c>
    </row>
    <row r="24" ht="178.5" customHeight="1" s="10">
      <c r="A24" s="12" t="inlineStr">
        <is>
          <t>1. Rule mechanics</t>
        </is>
      </c>
      <c r="B24" s="13" t="inlineStr">
        <is>
          <t>RM-23</t>
        </is>
      </c>
      <c r="C24" s="12" t="inlineStr">
        <is>
          <t>A separate CMS proposed rule, CMS-2450 (RIN 0938-AV70), has been under OIRA review since May 12, 2026; its published agenda entry describes program integrity and payment provisions, including state directed payments, and an intent to rescind or revise provisions of CMS's 2024 managed care and access rules; its text is not public</t>
        </is>
      </c>
      <c r="D24" s="12" t="inlineStr">
        <is>
          <t>rule mechanic [E]</t>
        </is>
      </c>
      <c r="E24" s="12" t="inlineStr">
        <is>
          <t>reginfo.gov (EO 12866 review entry) / Unified Agenda</t>
        </is>
      </c>
      <c r="F24" s="12" t="inlineStr">
        <is>
          <t>Note sec. 9 item 4; App. I ('CMS-2450 is RIN 0938-AV70'); RIN 0938-AV70, EO 12866 review ID 1379863 (M-6)</t>
        </is>
      </c>
      <c r="G24" s="12" t="inlineStr">
        <is>
          <t>Note sec. 9, item 4; App. I</t>
        </is>
      </c>
      <c r="H24" s="12" t="inlineStr">
        <is>
          <t>Regulatory review status and published agenda-entry scope of a rule distinct from the two the note analyzes</t>
        </is>
      </c>
      <c r="I24" s="12" t="inlineStr">
        <is>
          <t>federal; a rule distinct from CMS-2449-P and CMS-2452-P</t>
        </is>
      </c>
      <c r="J24" s="12" t="inlineStr">
        <is>
          <t>under OIRA review since May 12, 2026; as of Sept 21–22, 2026</t>
        </is>
      </c>
      <c r="K24" s="12" t="inlineStr">
        <is>
          <t>n/a</t>
        </is>
      </c>
      <c r="L24" s="12" t="inlineStr">
        <is>
          <t>not scenario-dependent</t>
        </is>
      </c>
      <c r="M24" s="12" t="inlineStr">
        <is>
          <t>Monitored at M-6. The agenda entry scopes CMS-2450 to program integrity and enrollment and retains state directed payments and payment and access requirements in its abstract; no official description of its SDP content exists beyond that abstract, and no source ties it to the CMS-2449-P/CMS-2452-P interaction. Two EO 12866 meetings were held, both with home-care and HCBS groups EXTERNAL VERIFICATION, September 27, 2026 (D-16): the reginfo.gov review record for RIN 0938-AV70 (rrid 1379863) shows CMS-2450 received at OIRA on 05/12/2026, matching the status box's 'since May 12, 2026' UPDATED October 11, 2026: v17 states the rule is 'under White House review since May 12, 2026' and that its agenda entry states an intent to rescind or revise parts of CMS's 2024 managed care rule, including SDP requirements (sec. 9 item 4), and gives the RIN in App. I. The May 12 date was externally verified at D-16 (September 27, 2026) but sits on the decision-log re-check list.</t>
        </is>
      </c>
      <c r="N24" s="12" t="inlineStr">
        <is>
          <t>verified as scoped — see M-6; perishable, and the rule's text remains non-public — NEEDS VERIFICATION [DL3] CMS-2450 (RIN 0938-AV70), its agenda entry and the May 12, 2026 review date are on the decision-log re-check list (sec. 9 items 3–4; App. I).</t>
        </is>
      </c>
    </row>
    <row r="25" ht="95.25" customHeight="1" s="10">
      <c r="A25" s="12" t="inlineStr">
        <is>
          <t>1. Rule mechanics</t>
        </is>
      </c>
      <c r="B25" s="13" t="inlineStr">
        <is>
          <t>RM-24</t>
        </is>
      </c>
      <c r="C25" s="12" t="inlineStr">
        <is>
          <t>Publication of CMS-2450, a separate proposed rule under White House review since May 12, 2026, would change CMS's estimates or the rules; its agenda entry states an intent to rescind or revise parts of CMS's 2024 managed care rule, including SDP requirements</t>
        </is>
      </c>
      <c r="D25" s="12" t="inlineStr">
        <is>
          <t>rule mechanic — monitoring item [E]</t>
        </is>
      </c>
      <c r="E25" s="12" t="inlineStr">
        <is>
          <t>reginfo.gov / Unified Agenda agenda entry for RIN 0938-AV70</t>
        </is>
      </c>
      <c r="F25" s="12" t="inlineStr">
        <is>
          <t>Note sec. 9, item 4</t>
        </is>
      </c>
      <c r="G25" s="12" t="inlineStr">
        <is>
          <t>Note sec. 9, item 4</t>
        </is>
      </c>
      <c r="H25" s="12" t="inlineStr">
        <is>
          <t>Scope of CMS-2450's stated intent as it bears on the 2024 managed care and access rules' SDP-related provisions</t>
        </is>
      </c>
      <c r="I25" s="12" t="inlineStr">
        <is>
          <t>federal; prospective and contingent on publication</t>
        </is>
      </c>
      <c r="J25" s="12" t="inlineStr">
        <is>
          <t>conditional — triggered by publication</t>
        </is>
      </c>
      <c r="K25" s="12" t="inlineStr">
        <is>
          <t>n/a</t>
        </is>
      </c>
      <c r="L25" s="12" t="inlineStr">
        <is>
          <t>not scenario-dependent</t>
        </is>
      </c>
      <c r="M25" s="12" t="inlineStr">
        <is>
          <t>Monitored at M-6, the same trigger as RM-23; this row restates the agenda-entry finding as a forward-looking monitoring item, not a new claim UPDATED October 11, 2026: claim reworded to the note's current text (v17). Previous wording: 'Publication of CMS-2450 would materially change the exposure picture; its agenda entry states an intent to rescind or revise provisions of the 2024 managed care rule, which include requirements governing state directed payments'</t>
        </is>
      </c>
      <c r="N25" s="12" t="inlineStr">
        <is>
          <t>verified as scoped — see M-6; conditional on publication — NEEDS VERIFICATION [DL3] CMS-2450, its agenda entry and the May 12, 2026 review date are on the decision-log re-check list (sec. 9 items 3–4; App. I).</t>
        </is>
      </c>
    </row>
    <row r="26" ht="157.5" customHeight="1" s="10">
      <c r="A26" s="12" t="inlineStr">
        <is>
          <t>1. Rule mechanics</t>
        </is>
      </c>
      <c r="B26" s="13" t="inlineStr">
        <is>
          <t>RM-25</t>
        </is>
      </c>
      <c r="C26" s="12" t="inlineStr">
        <is>
          <t>CMS approvals or renewals of individual SDPs under current rules can bring financing effects forward before either rule is final; in September 2026, one state's SDP programs lapsed at the start of its fiscal year during a dispute over its provider tax calculation, and CMS authorized them about two and a half weeks later</t>
        </is>
      </c>
      <c r="D26" s="12" t="inlineStr">
        <is>
          <t>rule mechanic — monitoring item, with a reference case [E]</t>
        </is>
      </c>
      <c r="E26" s="12" t="inlineStr">
        <is>
          <t>Texas Tribune, September 17, 2026; Fierce Healthcare, September 18, 2026 (as cited in note sec. 7, item 6); CMS preprint approvals on Medicaid.gov; state announcements</t>
        </is>
      </c>
      <c r="F26" s="12" t="inlineStr">
        <is>
          <t>Note sec. 9, item 5; Texas Tribune, September 17, 2026; Fierce Healthcare, September 18, 2026</t>
        </is>
      </c>
      <c r="G26" s="12" t="inlineStr">
        <is>
          <t>Note sec. 9, item 5</t>
        </is>
      </c>
      <c r="H26" s="12" t="inlineStr">
        <is>
          <t>Timing of an SDP preprint lapse and reauthorization relative to the state's fiscal year start</t>
        </is>
      </c>
      <c r="I26" s="12" t="inlineStr">
        <is>
          <t>one unnamed state</t>
        </is>
      </c>
      <c r="J26" s="12" t="inlineStr">
        <is>
          <t>September 2026 (lapse at fiscal-year start; reauthorized about two and a half weeks later, dated September 18 at M-7)</t>
        </is>
      </c>
      <c r="K26" s="12" t="inlineStr">
        <is>
          <t>unstated in the note; M-7 records the reauthorized amount as approximately $12 billion</t>
        </is>
      </c>
      <c r="L26" s="12" t="inlineStr">
        <is>
          <t>not scenario-dependent</t>
        </is>
      </c>
      <c r="M26" s="12" t="inlineStr">
        <is>
          <t>Monitored at M-7. The state is not named in the note or the series UPDATED September 27, 2026: the note now cites the Texas Tribune (September 17, 2026) and Fierce Healthcare (September 18, 2026) for this reference case. It still does not name the state in its text. Neither article was re-read for this ledger; re-reading both would support an upgrade UPDATED October 11, 2026: Pointer moved to sec. 9 item 5. v17 words the lapse as 'during a dispute over its provider tax calculation'. The state is still not named in the note. Previous wording: 'CMS decisions on SDP preprint approvals and renewals under existing authority can bring financing effects forward before either rule is final; in September 2026, one state's directed payment programs lapsed at the start of its fiscal year pending a dispute over provider tax calculation, and were authorized about two and a half weeks later'</t>
        </is>
      </c>
      <c r="N26" s="12" t="inlineStr">
        <is>
          <t>single-source — two outlets now cited in the note but neither re-read for this ledger; the dollar detail rests on the reference case at M-7 — NEEDS VERIFICATION [DL3] Texas Tribune (September 17, 2026) and Fierce Healthcare (September 18, 2026) are on the decision-log re-check list (sec. 9 item 5); neither was re-read for this ledger.</t>
        </is>
      </c>
    </row>
    <row r="27" ht="199.5" customHeight="1" s="10">
      <c r="A27" s="12" t="inlineStr">
        <is>
          <t>1. Rule mechanics</t>
        </is>
      </c>
      <c r="B27" s="13" t="inlineStr">
        <is>
          <t>RM-26</t>
        </is>
      </c>
      <c r="C27" s="12" t="inlineStr">
        <is>
          <t>A decision on appeal in Texas v. CMS, 805 F. Supp. 3d 734 (E.D. Tex. 2025), which the Children's Hospital Association of Texas describes as a permanent injunction against CMS's hold harmless test for Texas's local provider participation funds, would change the rules; an unverified research note gives the appeal as Fifth Circuit No. 25-40766, pending as of June 24, 2026</t>
        </is>
      </c>
      <c r="D27" s="12" t="inlineStr">
        <is>
          <t>rule mechanic — monitoring item, litigation status [E] (CHAT's description); [I] (appeal number, unverified)</t>
        </is>
      </c>
      <c r="E27" s="12" t="inlineStr">
        <is>
          <t>Children's Hospital Association of Texas comment CMS-2026-2476-0114, pp. 13–14; unverified research note</t>
        </is>
      </c>
      <c r="F27" s="12" t="inlineStr">
        <is>
          <t>Note sec. 9, item 6; comment CMS-2026-2476-0114, pp. 13–14 (see TP-31)</t>
        </is>
      </c>
      <c r="G27" s="12" t="inlineStr">
        <is>
          <t>Note sec. 9, item 6</t>
        </is>
      </c>
      <c r="H27" s="12" t="inlineStr">
        <is>
          <t>Litigation status of a case as described by a commenter, and the appeal number from an unverified source</t>
        </is>
      </c>
      <c r="I27" s="12" t="inlineStr">
        <is>
          <t>Texas local provider participation funds; hold harmless test</t>
        </is>
      </c>
      <c r="J27" s="12" t="inlineStr">
        <is>
          <t>District court 2025; appeal pending as of June 24, 2026 per an unverified research note</t>
        </is>
      </c>
      <c r="K27" s="12" t="inlineStr">
        <is>
          <t>n/a</t>
        </is>
      </c>
      <c r="L27" s="12" t="inlineStr">
        <is>
          <t>not scenario-dependent</t>
        </is>
      </c>
      <c r="M27" s="12" t="inlineStr">
        <is>
          <t>Monitored at M-8. A reported December 2025 Eleventh Circuit decision upholding the 2023 bulletin, which would create a circuit split, is single-source and unverified, and is not in the note UPDATED October 11, 2026: The earlier wording ('the district court set aside the relevant 2024 rule provisions and 2023–2024 CMS bulletins in September 2025'; appeal about redistribution arrangements) is no longer a note claim: Round 3 item 6 found no source for 'set aside', the 2024 provisions, the 2023–2024 guidance or September 2025, and the [E] tag was unsupported. The note now attributes the ruling's terms to CHAT. The court ruling and the appeal could not be read (courtlistener.com blocked; govinfo has no opinion; no Fifth Circuit opinion at the court's standard paths). Previous wording: 'A decision in Fifth Circuit No. 25-40766 would materially change the exposure picture; the appeal concerns whether CMS may treat redistribution arrangements among taxed providers as hold harmless arrangements, and the district court set aside the relevant 2024 rule provisions and 2023–2024 CMS bulletins in September 2025'</t>
        </is>
      </c>
      <c r="N27" s="12" t="inlineStr">
        <is>
          <t>single-source — CHAT's description (comment 2476-0114); case caption and appeal number rest on an unverified research note — NEEDS VERIFICATION [DL3] Fifth Circuit No. 25-40766 and its June 24, 2026 status (research note, unverified) are on the decision-log re-check list (sec. 9 item 6).</t>
        </is>
      </c>
    </row>
    <row r="28" ht="53.25" customHeight="1" s="10">
      <c r="A28" s="12" t="inlineStr">
        <is>
          <t>1. Rule mechanics</t>
        </is>
      </c>
      <c r="B28" s="13" t="inlineStr">
        <is>
          <t>RM-27</t>
        </is>
      </c>
      <c r="C28" s="12" t="inlineStr">
        <is>
          <t>The freeze covers rate increases as well as new taxes: the rule freezes provider taxes at their July 4, 2025 levels in all states, with no new taxes and no rate increases</t>
        </is>
      </c>
      <c r="D28" s="12" t="inlineStr">
        <is>
          <t>rule mechanic</t>
        </is>
      </c>
      <c r="E28" s="12" t="inlineStr">
        <is>
          <t>CMS-2452-P / Sec. 71115</t>
        </is>
      </c>
      <c r="F28" s="12" t="inlineStr">
        <is>
          <t>91 FR 46562 et seq.</t>
        </is>
      </c>
      <c r="G28" s="12" t="inlineStr">
        <is>
          <t>Note sec. 1: "It freezes provider taxes at their July 4, 2025 levels in all states: no new taxes and no rate increases."</t>
        </is>
      </c>
      <c r="H28" s="12" t="inlineStr">
        <is>
          <t>Prohibition on new health-care-related taxes and on rate increases to existing taxes</t>
        </is>
      </c>
      <c r="I28" s="12" t="inlineStr">
        <is>
          <t>all states</t>
        </is>
      </c>
      <c r="J28" s="12" t="inlineStr">
        <is>
          <t>from July 4, 2025</t>
        </is>
      </c>
      <c r="K28" s="12" t="inlineStr">
        <is>
          <t>n/a</t>
        </is>
      </c>
      <c r="L28" s="12" t="inlineStr">
        <is>
          <t>not scenario-dependent</t>
        </is>
      </c>
      <c r="M28" s="12" t="inlineStr">
        <is>
          <t>Extends RM-06, which records the new-tax limb only; RM-06 is not contradicted and is retained. The rate-increase limb rests on the rule text as the note states it. No worksheet row: the worksheet transcribes quantitative estimates, not rule text. Not re-read against the Federal Register for this ledger</t>
        </is>
      </c>
      <c r="N28" s="12" t="inlineStr">
        <is>
          <t>single-source</t>
        </is>
      </c>
    </row>
    <row r="29" ht="199.5" customHeight="1" s="10">
      <c r="A29" s="12" t="inlineStr">
        <is>
          <t>1. Rule mechanics</t>
        </is>
      </c>
      <c r="B29" s="13" t="inlineStr">
        <is>
          <t>RM-28</t>
        </is>
      </c>
      <c r="C29" s="12" t="inlineStr">
        <is>
          <t>Indirect hold harmless threshold schedule: FFY2027 at each state's July 4, 2025 level (at most 6.0%); 5.5% FFY2028; 5.0% FFY2029; 4.5% FFY2030; 4.0% FFY2031; 3.5% FFY2032 and after</t>
        </is>
      </c>
      <c r="D29" s="12" t="inlineStr">
        <is>
          <t>rule mechanic [E]</t>
        </is>
      </c>
      <c r="E29" s="12" t="inlineStr">
        <is>
          <t>CMS-2452-P / Sec. 71115</t>
        </is>
      </c>
      <c r="F29" s="12" t="inlineStr">
        <is>
          <t>Note sec. 1 (threshold table; source: 91 FR 46565, 46576, 46598); P.L. 119-21 § 71115(a)(2); federal fiscal year: 31 U.S.C. 1102</t>
        </is>
      </c>
      <c r="G29" s="12" t="inlineStr">
        <is>
          <t>Note sec. 1, threshold table</t>
        </is>
      </c>
      <c r="H29" s="12" t="inlineStr">
        <is>
          <t>Safe-harbor threshold, percent of net patient revenue</t>
        </is>
      </c>
      <c r="I29" s="12" t="inlineStr">
        <is>
          <t>expansion states only</t>
        </is>
      </c>
      <c r="J29" s="12" t="inlineStr">
        <is>
          <t>FFY2027–2032+</t>
        </is>
      </c>
      <c r="K29" s="12" t="inlineStr">
        <is>
          <t>n/a</t>
        </is>
      </c>
      <c r="L29" s="12" t="inlineStr">
        <is>
          <t>not scenario-dependent</t>
        </is>
      </c>
      <c r="M29" s="12" t="inlineStr">
        <is>
          <t>Replaces RM-07, whose first step ('6.0% now') the note no longer states: a state whose July 4, 2025 level was below 6.0% starts below it. Sequencing consistent with RM-08 (expansion states only) and RM-29 (NF and ICF/IID exempt). No corroborating source located in the available outputs UPDATED October 11, 2026: v17's source note changes the cite from 91 FR 46562 to 91 FR 46565, 46576, 46598, and defines the federal fiscal year by 31 U.S.C. 1102 (Citation check: confirmed). The statute pinpoint for the schedule itself (P.L. 119-21 § 71115) was not added to the note; the schedule's statutory page was not checked. VERIFIED October 13, 2026, [CM] part (verification_v4_log.md): the schedule is stated at 91 FR 46565 (preamble), 46576 (preamble) and 46598 (proposed § 433.68(f)(3)(ii)(B)(3)(i)-(v)) in the CMS-2452-P, govinfo PDF (FR Doc. 2026-14897); matched by script.</t>
        </is>
      </c>
      <c r="N29" s="12" t="inlineStr">
        <is>
          <t>single-source — [CM part] re-checked October 13, 2026: 91 FR 46565, 46576 and 46598 each state the schedule (5.5 percent in FFY 2028 down to 3.5 percent from FFY 2032); matches. Still open — NEEDS VERIFICATION [DL3] 91 FR 46562 for the threshold schedule and the new permissible class was left open on the change map (v2 to v3); the statutory page for the schedule is still to add.</t>
        </is>
      </c>
    </row>
    <row r="30" ht="116.25" customHeight="1" s="10">
      <c r="A30" s="12" t="inlineStr">
        <is>
          <t>1. Rule mechanics</t>
        </is>
      </c>
      <c r="B30" s="13" t="inlineStr">
        <is>
          <t>RM-29</t>
        </is>
      </c>
      <c r="C30" s="12" t="inlineStr">
        <is>
          <t>Taxes on nursing facilities and on intermediate care facilities for people with intellectual disabilities are exempt from the lower threshold and stay at their July 4, 2025 level</t>
        </is>
      </c>
      <c r="D30" s="12" t="inlineStr">
        <is>
          <t>rule mechanic [E]</t>
        </is>
      </c>
      <c r="E30" s="12" t="inlineStr">
        <is>
          <t>Section 71115 (P.L. 119-21) / CMS-2452-P</t>
        </is>
      </c>
      <c r="F30" s="12" t="inlineStr">
        <is>
          <t>P.L. 119-21, § 71115(a)(2); 91 FR 46565, 46576; note sec. 1 (SDP/provider tax table)</t>
        </is>
      </c>
      <c r="G30" s="12" t="inlineStr">
        <is>
          <t>Note sec. 1, provider tax table</t>
        </is>
      </c>
      <c r="H30" s="12" t="inlineStr">
        <is>
          <t>Class exemption from the phase-down</t>
        </is>
      </c>
      <c r="I30" s="12" t="inlineStr">
        <is>
          <t>nursing facility and ICF/IID tax classes</t>
        </is>
      </c>
      <c r="J30" s="12" t="inlineStr">
        <is>
          <t>prospective</t>
        </is>
      </c>
      <c r="K30" s="12" t="inlineStr">
        <is>
          <t>n/a</t>
        </is>
      </c>
      <c r="L30" s="12" t="inlineStr">
        <is>
          <t>not scenario-dependent</t>
        </is>
      </c>
      <c r="M30" s="12" t="inlineStr">
        <is>
          <t>Consistent with sec. 4, where KFF's tax counts are of non-exempt taxes above 3.5% (SE-04). The exemption itself rests on the rule text as the note states it; not re-read for this ledger UPDATED October 11, 2026: v17 cites the statute (§ 71115(a)(2)) and 91 FR 46565, 46576, and says the classes 'stay at their July 4, 2025 level'. Verification U-4 confirmed the exemption as statutory (new SSA § 1903(w)(4)(D)(iv), 139 Stat. 302; 42 CFR 433.56(a)(3)–(4)) and that CMS calls it statutory at 91 FR 46565, 46576. Previous wording: 'Nursing facility and ICF/IID taxes are exempt from the threshold phase-down' VERIFIED October 13, 2026 (verification_v4_log.md): 91 FR 46565 and 46576 read in the CMS-2452-P, govinfo PDF (FR Doc. 2026-14897); both state that the phase-down does not apply to nursing facility and ICF/IID taxes.</t>
        </is>
      </c>
      <c r="N30" s="12" t="inlineStr">
        <is>
          <t>verified — U-4; re-checked October 13, 2026: 91 FR 46565 and 46576 state the nursing facility and ICF/IID exemption; matches.</t>
        </is>
      </c>
    </row>
    <row r="31" ht="137.25" customHeight="1" s="10">
      <c r="A31" s="12" t="inlineStr">
        <is>
          <t>1. Rule mechanics</t>
        </is>
      </c>
      <c r="B31" s="13" t="inlineStr">
        <is>
          <t>RM-30</t>
        </is>
      </c>
      <c r="C31" s="12" t="inlineStr">
        <is>
          <t>Both rules add provisions the OBBBA does not require; the provider tax rule stops applying the 75/75 test from federal fiscal year 2027 and adds a new permissible class, and the SDP rule extends the cap to other services and limits fee-for-service payments that target particular practitioners</t>
        </is>
      </c>
      <c r="D31" s="12" t="inlineStr">
        <is>
          <t>rule mechanic [E]</t>
        </is>
      </c>
      <c r="E31" s="12" t="inlineStr">
        <is>
          <t>CMS-2452-P</t>
        </is>
      </c>
      <c r="F31" s="12" t="inlineStr">
        <is>
          <t>Note sec. 1 (both tables); 91 FR 46562, 46581; 91 FR 30453, 30456</t>
        </is>
      </c>
      <c r="G31" s="12" t="inlineStr">
        <is>
          <t>Note sec. 1</t>
        </is>
      </c>
      <c r="H31" s="12" t="inlineStr">
        <is>
          <t>Regulatory provisions not required by Sec. 71115</t>
        </is>
      </c>
      <c r="I31" s="12" t="inlineStr">
        <is>
          <t>federal rule</t>
        </is>
      </c>
      <c r="J31" s="12" t="inlineStr">
        <is>
          <t>prospective</t>
        </is>
      </c>
      <c r="K31" s="12" t="inlineStr">
        <is>
          <t>n/a</t>
        </is>
      </c>
      <c r="L31" s="12" t="inlineStr">
        <is>
          <t>not scenario-dependent</t>
        </is>
      </c>
      <c r="M31" s="12" t="inlineStr">
        <is>
          <t>Georgetown CCF's July 27, 2026 post (TP-08) is titled 'CMS Issues New Rule Again Going Beyond H.R. 1 Requirements to Further Restrict State Use of Medicaid Provider Taxes', which corroborates the general characterization. The two named provisions are not corroborated in the available outputs UPDATED October 11, 2026: v17 names the additions in its two tables. The earlier wording ('sunsetting a secondary prong of the hold harmless test') is replaced by CMS's stated change: stopping the 75/75 test from FFY2027 (RM-41). Georgetown CCF's July 27, 2026 title corroborates the general characterization (TP-08). Previous wording: 'CMS proposes provisions beyond the statute, including sunsetting a secondary prong of the hold harmless test and adding a permissible class'</t>
        </is>
      </c>
      <c r="N31" s="12" t="inlineStr">
        <is>
          <t>verified with caveat - beyond-statute characterization corroborated by Georgetown CCF; the two named provisions rest on the rule text as the note states it — NEEDS VERIFICATION [DL3] 91 FR 46562 for the new permissible class was left open on the change map (v2 to v3 'existing citations flagged for re-check').</t>
        </is>
      </c>
    </row>
    <row r="32" ht="126.75" customHeight="1" s="10">
      <c r="A32" s="12" t="inlineStr">
        <is>
          <t>1. Rule mechanics</t>
        </is>
      </c>
      <c r="B32" s="13" t="inlineStr">
        <is>
          <t>RM-31</t>
        </is>
      </c>
      <c r="C32" s="12" t="inlineStr">
        <is>
          <t>CMS's analysis of how the two rules interact: the SDP rule defers it to future rulemaking (91 FR 30453); the provider tax rule partly supplies it</t>
        </is>
      </c>
      <c r="D32" s="12" t="inlineStr">
        <is>
          <t>rule mechanic - monitoring item [E]/[I]</t>
        </is>
      </c>
      <c r="E32" s="12" t="inlineStr">
        <is>
          <t>CMS-2449-P; CMS-2452-P</t>
        </is>
      </c>
      <c r="F32" s="12" t="inlineStr">
        <is>
          <t>Note sec. 9 item 2; CMS-2449-P 91 FR 30453; CMS-2452-P 91 FR 46592–46594 (Tables 14, 16, 18)</t>
        </is>
      </c>
      <c r="G32" s="12" t="inlineStr">
        <is>
          <t>Note sec. 9, item 2</t>
        </is>
      </c>
      <c r="H32" s="12" t="inlineStr">
        <is>
          <t>Status of CMS's interaction analysis</t>
        </is>
      </c>
      <c r="I32" s="12" t="inlineStr">
        <is>
          <t>federal</t>
        </is>
      </c>
      <c r="J32" s="12" t="inlineStr">
        <is>
          <t>prospective</t>
        </is>
      </c>
      <c r="K32" s="12" t="inlineStr">
        <is>
          <t>n/a</t>
        </is>
      </c>
      <c r="L32" s="12" t="inlineStr">
        <is>
          <t>not scenario-dependent</t>
        </is>
      </c>
      <c r="M32" s="12" t="inlineStr">
        <is>
          <t>The 'partly supplies' limb [I] is corroborated by the interaction-inclusive tables and narrative at CE-11, CE-14 and CE-18. The deferral limb [E] rests on the SDP rule's text as the note states it; the worksheet does not transcribe it. Same point as D-7 and trigger M-4 UPDATED October 11, 2026: v17 adds the 91 FR 30453 cite for the deferral limb [E]; Round 3 item 1 notes that CMS says at 91 FR 30453 it has not yet modeled the interaction with §§ 71115 and 71117 and expects to do so 'in future rulemaking'. Previous wording: 'CMS's promised analysis of how the two rulemakings interact: the SDP rule defers it to future rulemaking; the provider tax rule partly supplies it' VERIFIED October 13, 2026 (verification_v4_log.md): 91 FR 30453 read in the CMS-2449-P, govinfo PDF (FR Doc. 2026-10292): CMS names sections 71115 and 71117, says there is potential overlap, and expects to provide an interaction analysis in future rulemaking. The 'partly supplies' limb stays [I] (CE-11, CE-14, CE-18).</t>
        </is>
      </c>
      <c r="N32" s="12" t="inlineStr">
        <is>
          <t>verified — upgraded from verified with caveat: deferral limb now read; re-checked October 13, 2026: 91 FR 30453 matches (CMS expects to analyse the interaction in future rulemaking).</t>
        </is>
      </c>
    </row>
    <row r="33" ht="74.25" customHeight="1" s="10">
      <c r="A33" s="12" t="inlineStr">
        <is>
          <t>1. Rule mechanics</t>
        </is>
      </c>
      <c r="B33" s="13" t="inlineStr">
        <is>
          <t>RM-32</t>
        </is>
      </c>
      <c r="C33" s="12" t="inlineStr">
        <is>
          <t>An arrival of either rule for White House review is shown on reginfo.gov, which signals that a final rule is near</t>
        </is>
      </c>
      <c r="D33" s="12" t="inlineStr">
        <is>
          <t>rule mechanic - monitoring item [E]/[I]</t>
        </is>
      </c>
      <c r="E33" s="12" t="inlineStr">
        <is>
          <t>reginfo.gov</t>
        </is>
      </c>
      <c r="F33" s="12" t="inlineStr">
        <is>
          <t>reginfo.gov EO 12866 review list; note sec. 9 item 3</t>
        </is>
      </c>
      <c r="G33" s="12" t="inlineStr">
        <is>
          <t>Note sec. 9, item 3</t>
        </is>
      </c>
      <c r="H33" s="12" t="inlineStr">
        <is>
          <t>Observability of OIRA review</t>
        </is>
      </c>
      <c r="I33" s="12" t="inlineStr">
        <is>
          <t>federal</t>
        </is>
      </c>
      <c r="J33" s="12" t="inlineStr">
        <is>
          <t>prospective</t>
        </is>
      </c>
      <c r="K33" s="12" t="inlineStr">
        <is>
          <t>n/a</t>
        </is>
      </c>
      <c r="L33" s="12" t="inlineStr">
        <is>
          <t>not scenario-dependent</t>
        </is>
      </c>
      <c r="M33" s="12" t="inlineStr">
        <is>
          <t>The observability limb [E] is the same public list checked at RM-10 and scoped at C-6. The 'imminent final action' limb is [FIRM]'s inference [I]. Trigger M-2 UPDATED October 11, 2026: claim reworded to the note's current text (v17). Previous wording: 'Transmission of either RIN to OMB is visible on reginfo.gov and marks the move from proposal to imminent final action'</t>
        </is>
      </c>
      <c r="N33" s="12" t="inlineStr">
        <is>
          <t>verified with caveat - second limb is inference — NEEDS VERIFICATION [DL3] reginfo.gov is on the decision-log re-check list (sec. 9 items 3–4; App. I).</t>
        </is>
      </c>
    </row>
    <row r="34" ht="74.25" customHeight="1" s="10">
      <c r="A34" s="12" t="inlineStr">
        <is>
          <t>1. Rule mechanics</t>
        </is>
      </c>
      <c r="B34" s="13" t="inlineStr">
        <is>
          <t>RM-33</t>
        </is>
      </c>
      <c r="C34" s="12" t="inlineStr">
        <is>
          <t>Section 71117 is carried out by a final rule (CMS-2448-F), which CMS's provider tax estimates take into account and which CMS says does not significantly change them; Section 71117 concerns waivers of the requirement that provider taxes be uniform</t>
        </is>
      </c>
      <c r="D34" s="12" t="inlineStr">
        <is>
          <t>rule mechanic [E]</t>
        </is>
      </c>
      <c r="E34" s="12" t="inlineStr">
        <is>
          <t>CMS-2452-P; CMS-2448-F</t>
        </is>
      </c>
      <c r="F34" s="12" t="inlineStr">
        <is>
          <t>91 FR 46590 n. 23, 46592 (CMS-2452-P); 91 FR 4794 (CMS-2448-F); note sec. 1, App. C</t>
        </is>
      </c>
      <c r="G34" s="12" t="inlineStr">
        <is>
          <t>Note sec. 1; App. C 'Draft note, Section 71117'</t>
        </is>
      </c>
      <c r="H34" s="12" t="inlineStr">
        <is>
          <t>Interaction of a third statutory section with the provider tax estimates</t>
        </is>
      </c>
      <c r="I34" s="12" t="inlineStr">
        <is>
          <t>federal rules</t>
        </is>
      </c>
      <c r="J34" s="12" t="inlineStr">
        <is>
          <t>n/a</t>
        </is>
      </c>
      <c r="K34" s="12" t="inlineStr">
        <is>
          <t>n/a</t>
        </is>
      </c>
      <c r="L34" s="12" t="inlineStr">
        <is>
          <t>not scenario-dependent</t>
        </is>
      </c>
      <c r="M34" s="12" t="inlineStr">
        <is>
          <t>Verification F-006: CMS-2452-P considers CMS-2448-F at 91 FR 46590 fn 23 and 91 FR 46592 (sec. V.C.3, 'Offsets'); CMS says the interaction has no significant impact on its estimates. 91 FR 4794 was read in full (verification summary, sources reached). CMS-2448-F's own RIA ($78.2B federal / $46.9B state, 91 FR 4829) is not used in v17. D3 keeps Section 71117 figures out of the note.</t>
        </is>
      </c>
      <c r="N34" s="12" t="inlineStr">
        <is>
          <t>verified</t>
        </is>
      </c>
    </row>
    <row r="35" ht="105.75" customHeight="1" s="10">
      <c r="A35" s="12" t="inlineStr">
        <is>
          <t>1. Rule mechanics</t>
        </is>
      </c>
      <c r="B35" s="13" t="inlineStr">
        <is>
          <t>RM-34</t>
        </is>
      </c>
      <c r="C35" s="12" t="inlineStr">
        <is>
          <t>Comments posted on regulations.gov, collected October 7, 2026: CMS-2449-P (docket CMS-2026-1916), 960 as filed / 961 corrected (660 distinct texts in both views); CMS-2452-P (docket CMS-2026-2476), 214 as filed / 213 corrected (188 / 187 distinct texts). Comment counts cover all comments unless they say distinct texts; keyword counts are approximate</t>
        </is>
      </c>
      <c r="D35" s="12" t="inlineStr">
        <is>
          <t>contextual [E]</t>
        </is>
      </c>
      <c r="E35" s="12" t="inlineStr">
        <is>
          <t>regulations.gov v4 API</t>
        </is>
      </c>
      <c r="F35" s="12" t="inlineStr">
        <is>
          <t>Note App. I, 'Draft methods note, comment counts'</t>
        </is>
      </c>
      <c r="G35" s="12" t="inlineStr">
        <is>
          <t>Note App. I</t>
        </is>
      </c>
      <c r="H35" s="12" t="inlineStr">
        <is>
          <t>Count of posted comments, as filed and corrected, and distinct texts</t>
        </is>
      </c>
      <c r="I35" s="12" t="inlineStr">
        <is>
          <t>two dockets</t>
        </is>
      </c>
      <c r="J35" s="12" t="inlineStr">
        <is>
          <t>snapshot October 7, 2026</t>
        </is>
      </c>
      <c r="K35" s="12" t="inlineStr">
        <is>
          <t>n/a</t>
        </is>
      </c>
      <c r="L35" s="12" t="inlineStr">
        <is>
          <t>not scenario-dependent</t>
        </is>
      </c>
      <c r="M35" s="12" t="inlineStr">
        <is>
          <t>Verification F-003: v4 API meta.totalElements = 960 (CMS-2026-1916, October 8) and 214 (CMS-2026-2476, re-confirmed October 9; the 1916 re-query hit the demo key's rate limit, so 960 rests on October 8). The 961 / 213 'corrected' view and the distinct-text counts (660; 188 / 187) come from the comment analyst's files and are not in the verification summary. The snapshot date (October 7) precedes the verification dates.</t>
        </is>
      </c>
      <c r="N35" s="12" t="inlineStr">
        <is>
          <t>verified with caveat — raw counts confirmed October 8–9; corrected and distinct-text counts rest on the analyst's files — NEEDS VERIFICATION [DL4] Corrected and distinct-text counts are comment-analyst output, not covered by the verification files.</t>
        </is>
      </c>
    </row>
    <row r="36" ht="63.75" customHeight="1" s="10">
      <c r="A36" s="12" t="inlineStr">
        <is>
          <t>1. Rule mechanics</t>
        </is>
      </c>
      <c r="B36" s="13" t="inlineStr">
        <is>
          <t>RM-35</t>
        </is>
      </c>
      <c r="C36" s="12" t="inlineStr">
        <is>
          <t>The Federal Register's records for the two rules give 6,344 and 245 comments, last refreshed from regulations.gov on September 4 and September 24, 2026, and do not say what they count. The Federal Register gives one count per docket, with no corrected view; its counts are a separate measure from the posted counts, and neither is compared across dockets</t>
        </is>
      </c>
      <c r="D36" s="12" t="inlineStr">
        <is>
          <t>contextual [E]/[I]</t>
        </is>
      </c>
      <c r="E36" s="12" t="inlineStr">
        <is>
          <t>federalregister.gov API (records 2026-10292 and 2026-14897)</t>
        </is>
      </c>
      <c r="F36" s="12" t="inlineStr">
        <is>
          <t>Note App. I, 'Draft methods note, comment counts'</t>
        </is>
      </c>
      <c r="G36" s="12" t="inlineStr">
        <is>
          <t>Note App. I</t>
        </is>
      </c>
      <c r="H36" s="12" t="inlineStr">
        <is>
          <t>The Federal Register's comment counters</t>
        </is>
      </c>
      <c r="I36" s="12" t="inlineStr">
        <is>
          <t>two dockets</t>
        </is>
      </c>
      <c r="J36" s="12" t="inlineStr">
        <is>
          <t>refreshed September 4, 2026 (CMS-2449-P) and September 24, 2026 (CMS-2452-P)</t>
        </is>
      </c>
      <c r="K36" s="12" t="inlineStr">
        <is>
          <t>n/a</t>
        </is>
      </c>
      <c r="L36" s="12" t="inlineStr">
        <is>
          <t>not scenario-dependent</t>
        </is>
      </c>
      <c r="M36" s="12" t="inlineStr">
        <is>
          <t>Verification F-003 and Round 2: comments_count 6344 (checked_regulationsdotgov_at 2026-09-04T23:55:03Z) and 245 (2026-09-24T08:55:04Z) confirmed. What the counts cover is unverifiable. The posted counts at RM-34 are the comparable measure. Replaces the 6,344 'posted comments' at RM-04 and RM-21</t>
        </is>
      </c>
      <c r="N36" s="12" t="inlineStr">
        <is>
          <t>verified with caveat — both counts confirmed; what they count is unverifiable</t>
        </is>
      </c>
    </row>
    <row r="37" ht="74.25" customHeight="1" s="10">
      <c r="A37" s="12" t="inlineStr">
        <is>
          <t>1. Rule mechanics</t>
        </is>
      </c>
      <c r="B37" s="13" t="inlineStr">
        <is>
          <t>RM-36</t>
        </is>
      </c>
      <c r="C37" s="12" t="inlineStr">
        <is>
          <t>'Corrected' moves one CMS-2449-P letter that was filed in the CMS-2452-P docket</t>
        </is>
      </c>
      <c r="D37" s="12" t="inlineStr">
        <is>
          <t>contextual [E]</t>
        </is>
      </c>
      <c r="E37" s="12" t="inlineStr">
        <is>
          <t>regulations.gov (comment analyst's files)</t>
        </is>
      </c>
      <c r="F37" s="12" t="inlineStr">
        <is>
          <t>Note App. I, 'Draft methods note, comment counts'</t>
        </is>
      </c>
      <c r="G37" s="12" t="inlineStr">
        <is>
          <t>Note App. I</t>
        </is>
      </c>
      <c r="H37" s="12" t="inlineStr">
        <is>
          <t>Difference between the as-filed and corrected docket views</t>
        </is>
      </c>
      <c r="I37" s="12" t="inlineStr">
        <is>
          <t>two dockets</t>
        </is>
      </c>
      <c r="J37" s="12" t="inlineStr">
        <is>
          <t>snapshot October 7, 2026</t>
        </is>
      </c>
      <c r="K37" s="12" t="inlineStr">
        <is>
          <t>n/a</t>
        </is>
      </c>
      <c r="L37" s="12" t="inlineStr">
        <is>
          <t>not scenario-dependent</t>
        </is>
      </c>
      <c r="M37" s="12" t="inlineStr">
        <is>
          <t>Arithmetic consistent with RM-34: 960 + 1 = 961 and 214 − 1 = 213. The letter is not identified in the note or the verification files.</t>
        </is>
      </c>
      <c r="N37" s="12" t="inlineStr">
        <is>
          <t>single-source — comment analyst's files; the letter is not identified — NEEDS VERIFICATION [DL4] The moved letter and the corrected view are not covered by the verification files.</t>
        </is>
      </c>
    </row>
    <row r="38" ht="53.25" customHeight="1" s="10">
      <c r="A38" s="12" t="inlineStr">
        <is>
          <t>1. Rule mechanics</t>
        </is>
      </c>
      <c r="B38" s="13" t="inlineStr">
        <is>
          <t>RM-37</t>
        </is>
      </c>
      <c r="C38" s="12" t="inlineStr">
        <is>
          <t>The OBBBA, formally Public Law 119-21, is called the Working Families Tax Cut legislation by CMS; it sets two limits on how states fund Medicaid, and CMS has proposed one rule for each</t>
        </is>
      </c>
      <c r="D38" s="12" t="inlineStr">
        <is>
          <t>rule mechanic [E]</t>
        </is>
      </c>
      <c r="E38" s="12" t="inlineStr">
        <is>
          <t>P.L. 119-21; CMS-2452-P</t>
        </is>
      </c>
      <c r="F38" s="12" t="inlineStr">
        <is>
          <t>91 FR 46562 (SUMMARY); 91 FR 46564 (heading 'D. Working Families Tax Cut Legislation'); note sec. 1</t>
        </is>
      </c>
      <c r="G38" s="12" t="inlineStr">
        <is>
          <t>Note sec. 1</t>
        </is>
      </c>
      <c r="H38" s="12" t="inlineStr">
        <is>
          <t>Name and structure of the statute and rules</t>
        </is>
      </c>
      <c r="I38" s="12" t="inlineStr">
        <is>
          <t>federal</t>
        </is>
      </c>
      <c r="J38" s="12" t="inlineStr">
        <is>
          <t>n/a</t>
        </is>
      </c>
      <c r="K38" s="12" t="inlineStr">
        <is>
          <t>n/a</t>
        </is>
      </c>
      <c r="L38" s="12" t="inlineStr">
        <is>
          <t>not scenario-dependent</t>
        </is>
      </c>
      <c r="M38" s="12" t="inlineStr">
        <is>
          <t>Citation check: the full name 'Working Families Tax Cut (WFTC) legislation' is spelled out at 91 FR 46562 and 46564; the table captions use only the acronym (Table 5 misprints it 'WTFC'), so the proposed cite to the captions was rejected. The captions are ledgered at CE-43.</t>
        </is>
      </c>
      <c r="N38" s="12" t="inlineStr">
        <is>
          <t>verified — Citation check</t>
        </is>
      </c>
    </row>
    <row r="39" ht="63.75" customHeight="1" s="10">
      <c r="A39" s="12" t="inlineStr">
        <is>
          <t>1. Rule mechanics</t>
        </is>
      </c>
      <c r="B39" s="13" t="inlineStr">
        <is>
          <t>RM-38</t>
        </is>
      </c>
      <c r="C39" s="12" t="inlineStr">
        <is>
          <t>SDPs are extra payments, most approved in advance by CMS, that a state requires its Medicaid managed care plans to make to particular providers</t>
        </is>
      </c>
      <c r="D39" s="12" t="inlineStr">
        <is>
          <t>rule mechanic [E]</t>
        </is>
      </c>
      <c r="E39" s="12" t="inlineStr">
        <is>
          <t>42 CFR 438.6(c)(1); CMS-2449-P</t>
        </is>
      </c>
      <c r="F39" s="12" t="inlineStr">
        <is>
          <t>42 CFR 438.6(c)(1); 91 FR 30447; note sec. 1</t>
        </is>
      </c>
      <c r="G39" s="12" t="inlineStr">
        <is>
          <t>Note sec. 1</t>
        </is>
      </c>
      <c r="H39" s="12" t="inlineStr">
        <is>
          <t>Definition of a state directed payment</t>
        </is>
      </c>
      <c r="I39" s="12" t="inlineStr">
        <is>
          <t>federal</t>
        </is>
      </c>
      <c r="J39" s="12" t="inlineStr">
        <is>
          <t>n/a</t>
        </is>
      </c>
      <c r="K39" s="12" t="inlineStr">
        <is>
          <t>n/a</t>
        </is>
      </c>
      <c r="L39" s="12" t="inlineStr">
        <is>
          <t>not scenario-dependent</t>
        </is>
      </c>
      <c r="M39" s="12" t="inlineStr">
        <is>
          <t>Citation check: 42 CFR 438.6(c) confirmed (CFR 2025 edition), general rule at (c)(1); heading of (c) reads 'State directed payments under MCO, PIHP, or PAHP contracts'. 'Most approved in advance' follows 91 FR 30447: SDPs needing no written prior approval under § 438.6(c)(2)(i) are excluded from the $143.8B base (RM-11).</t>
        </is>
      </c>
      <c r="N39" s="12" t="inlineStr">
        <is>
          <t>verified — Citation check</t>
        </is>
      </c>
    </row>
    <row r="40" ht="116.25" customHeight="1" s="10">
      <c r="A40" s="12" t="inlineStr">
        <is>
          <t>1. Rule mechanics</t>
        </is>
      </c>
      <c r="B40" s="13" t="inlineStr">
        <is>
          <t>RM-39</t>
        </is>
      </c>
      <c r="C40" s="12" t="inlineStr">
        <is>
          <t>Under current rules, a tax that raises more than a threshold share of taxed providers' net patient revenue, at most 6 percent, is also an indirect hold harmless if, in the aggregate, 75 percent of taxpayers get back 75 percent or more of their tax (the 75/75 test); federal law bars states from promising providers their tax back (a hold harmless)</t>
        </is>
      </c>
      <c r="D40" s="12" t="inlineStr">
        <is>
          <t>rule mechanic [E]</t>
        </is>
      </c>
      <c r="E40" s="12" t="inlineStr">
        <is>
          <t>SSA § 1903(w)(4)(C)(i); 42 CFR 433.68(f)(3); CMS-2452-P</t>
        </is>
      </c>
      <c r="F40" s="12" t="inlineStr">
        <is>
          <t>91 FR 46564 (75/75 defined); note sec. 1 and App. B ('Draft note, hold harmless')</t>
        </is>
      </c>
      <c r="G40" s="12" t="inlineStr">
        <is>
          <t>Note sec. 1, provider tax paragraph</t>
        </is>
      </c>
      <c r="H40" s="12" t="inlineStr">
        <is>
          <t>The hold harmless rule and the 75/75 test</t>
        </is>
      </c>
      <c r="I40" s="12" t="inlineStr">
        <is>
          <t>federal; all states</t>
        </is>
      </c>
      <c r="J40" s="12" t="inlineStr">
        <is>
          <t>current rules</t>
        </is>
      </c>
      <c r="K40" s="12" t="inlineStr">
        <is>
          <t>n/a</t>
        </is>
      </c>
      <c r="L40" s="12" t="inlineStr">
        <is>
          <t>not scenario-dependent</t>
        </is>
      </c>
      <c r="M40" s="12" t="inlineStr">
        <is>
          <t>Citation check confirmed § 1903(w)(4)(C)(i) and 42 CFR 433.68(f) (the ssa.gov compilation may predate the 2025 amendments); U-3 confirmed 75/75 at 91 FR 46564. TENSION WITH RM-42: v17 sec. 1 says 'under current rules … at most 6 percent', but U-3 and v17's own threshold-table source note place the 6 percent cap in CMS's proposal (proposed § 433.68(f)(3)(ii)(A)(3); 91 FR 46572, 46598), with an exception for a tax that met the 75/75 test on July 4, 2025. The 75/75 limb is verified; the 'under current rules … at most 6 percent' wording is not supported as a statement of current rules.</t>
        </is>
      </c>
      <c r="N40" s="12" t="inlineStr">
        <is>
          <t>verified with caveat — 75/75 test confirmed; 'under current rules … at most 6 percent' conflicts with U-3 and v17's own source note (RM-42)</t>
        </is>
      </c>
    </row>
    <row r="41" ht="63.75" customHeight="1" s="10">
      <c r="A41" s="12" t="inlineStr">
        <is>
          <t>1. Rule mechanics</t>
        </is>
      </c>
      <c r="B41" s="13" t="inlineStr">
        <is>
          <t>RM-40</t>
        </is>
      </c>
      <c r="C41" s="12" t="inlineStr">
        <is>
          <t>A failed tax costs the state federal matching funds on the revenue that does not qualify, because CMS deducts the non-qualifying revenue from the state's Medicaid spending before calculating the federal match; so a lower threshold limits how much states can raise</t>
        </is>
      </c>
      <c r="D41" s="12" t="inlineStr">
        <is>
          <t>rule mechanic [E]/[I]</t>
        </is>
      </c>
      <c r="E41" s="12" t="inlineStr">
        <is>
          <t>42 CFR 433.70(b)</t>
        </is>
      </c>
      <c r="F41" s="12" t="inlineStr">
        <is>
          <t>42 CFR 433.70(b); note sec. 1, App. B</t>
        </is>
      </c>
      <c r="G41" s="12" t="inlineStr">
        <is>
          <t>Note sec. 1; App. B 'Draft note, hold harmless'</t>
        </is>
      </c>
      <c r="H41" s="12" t="inlineStr">
        <is>
          <t>Consequence of a failed health care-related tax</t>
        </is>
      </c>
      <c r="I41" s="12" t="inlineStr">
        <is>
          <t>federal</t>
        </is>
      </c>
      <c r="J41" s="12" t="inlineStr">
        <is>
          <t>n/a</t>
        </is>
      </c>
      <c r="K41" s="12" t="inlineStr">
        <is>
          <t>n/a</t>
        </is>
      </c>
      <c r="L41" s="12" t="inlineStr">
        <is>
          <t>not scenario-dependent</t>
        </is>
      </c>
      <c r="M41" s="12" t="inlineStr">
        <is>
          <t>Citation check: confirmed at paragraph (b) only (CFR 2025 edition): 'CMS will deduct from a State's medical assistance expenditures, before calculating FFP, revenues from health care-related taxes that do not meet the requirements …'. The second limb ('so a lower threshold limits how much states can raise') is v17's [I] inference.</t>
        </is>
      </c>
      <c r="N41" s="12" t="inlineStr">
        <is>
          <t>verified — Citation check, 42 CFR 433.70(b)</t>
        </is>
      </c>
    </row>
    <row r="42" ht="42.75" customHeight="1" s="10">
      <c r="A42" s="12" t="inlineStr">
        <is>
          <t>1. Rule mechanics</t>
        </is>
      </c>
      <c r="B42" s="13" t="inlineStr">
        <is>
          <t>RM-41</t>
        </is>
      </c>
      <c r="C42" s="12" t="inlineStr">
        <is>
          <t>CMS proposes to stop applying the 75/75 test from federal fiscal year 2027, making the threshold the most a tax can raise, whether or not providers get their tax back</t>
        </is>
      </c>
      <c r="D42" s="12" t="inlineStr">
        <is>
          <t>rule mechanic [E]</t>
        </is>
      </c>
      <c r="E42" s="12" t="inlineStr">
        <is>
          <t>CMS-2452-P</t>
        </is>
      </c>
      <c r="F42" s="12" t="inlineStr">
        <is>
          <t>91 FR 46562, 46581; note sec. 1 (provider tax table)</t>
        </is>
      </c>
      <c r="G42" s="12" t="inlineStr">
        <is>
          <t>Note sec. 1</t>
        </is>
      </c>
      <c r="H42" s="12" t="inlineStr">
        <is>
          <t>Proposed change to the indirect hold harmless test</t>
        </is>
      </c>
      <c r="I42" s="12" t="inlineStr">
        <is>
          <t>federal rule</t>
        </is>
      </c>
      <c r="J42" s="12" t="inlineStr">
        <is>
          <t>from FFY2027</t>
        </is>
      </c>
      <c r="K42" s="12" t="inlineStr">
        <is>
          <t>n/a</t>
        </is>
      </c>
      <c r="L42" s="12" t="inlineStr">
        <is>
          <t>not scenario-dependent</t>
        </is>
      </c>
      <c r="M42" s="12" t="inlineStr">
        <is>
          <t>U-3: 75/75 dropped from FFY2027 at 91 FR 46581 and in the summary at 46562 (confirmed in the Federal Register text). Replaces the older 'sunsetting a secondary prong' wording at RM-30.</t>
        </is>
      </c>
      <c r="N42" s="12" t="inlineStr">
        <is>
          <t>verified — U-3</t>
        </is>
      </c>
    </row>
    <row r="43" ht="74.25" customHeight="1" s="10">
      <c r="A43" s="12" t="inlineStr">
        <is>
          <t>1. Rule mechanics</t>
        </is>
      </c>
      <c r="B43" s="13" t="inlineStr">
        <is>
          <t>RM-42</t>
        </is>
      </c>
      <c r="C43" s="12" t="inlineStr">
        <is>
          <t>The 6 percent cap on the threshold is CMS's proposal (proposed § 433.68(f)(3)(ii)(A)(3)), with an exception for a tax that met the 75/75 test on July 4, 2025, which CMS expects no state to use; the federal fiscal year begins October 1 of the prior calendar year</t>
        </is>
      </c>
      <c r="D43" s="12" t="inlineStr">
        <is>
          <t>rule mechanic [E]</t>
        </is>
      </c>
      <c r="E43" s="12" t="inlineStr">
        <is>
          <t>CMS-2452-P; 31 U.S.C. 1102</t>
        </is>
      </c>
      <c r="F43" s="12" t="inlineStr">
        <is>
          <t>91 FR 46572, 46598; 31 U.S.C. 1102; note sec. 1 (threshold table source note)</t>
        </is>
      </c>
      <c r="G43" s="12" t="inlineStr">
        <is>
          <t>Note sec. 1, threshold table source note</t>
        </is>
      </c>
      <c r="H43" s="12" t="inlineStr">
        <is>
          <t>Where the 6 percent figure comes from</t>
        </is>
      </c>
      <c r="I43" s="12" t="inlineStr">
        <is>
          <t>expansion states</t>
        </is>
      </c>
      <c r="J43" s="12" t="inlineStr">
        <is>
          <t>FFY2027</t>
        </is>
      </c>
      <c r="K43" s="12" t="inlineStr">
        <is>
          <t>n/a</t>
        </is>
      </c>
      <c r="L43" s="12" t="inlineStr">
        <is>
          <t>not scenario-dependent</t>
        </is>
      </c>
      <c r="M43" s="12" t="inlineStr">
        <is>
          <t>U-3 confirmed 91 FR 46572 and proposed § 433.68(f)(3)(ii)(A)(3) at 46598 (6 percent cap unless the tax met 75/75 on July 4, 2025; CMS expects no state to qualify). 31 U.S.C. 1102 confirmed by the Citation check. Replaces the older v16 cite to 91 FR 46562 (decision 4 of the log). Read with RM-39. VERIFIED October 13, 2026 (verification_v4_log.md): 91 FR 46598 and 46572 read in the CMS-2452-P, govinfo PDF (FR Doc. 2026-14897); the 6 percent cap, its 75/75 exception and CMS's expectation that no state qualifies match by script.</t>
        </is>
      </c>
      <c r="N43" s="12" t="inlineStr">
        <is>
          <t>verified — U-3 and Citation check; re-checked October 13, 2026: 91 FR 46598 (proposed § 433.68(f)(3)(ii)(A)(3)) and 91 FR 46572 match.</t>
        </is>
      </c>
    </row>
    <row r="44" ht="63.75" customHeight="1" s="10">
      <c r="A44" s="12" t="inlineStr">
        <is>
          <t>1. Rule mechanics</t>
        </is>
      </c>
      <c r="B44" s="13" t="inlineStr">
        <is>
          <t>RM-43</t>
        </is>
      </c>
      <c r="C44" s="12" t="inlineStr">
        <is>
          <t>Terms: expansion states are those covering adults under Social Security Act § 1902(a)(10)(A)(i)(VIII); IGTs are funds transferred from or certified by units of government within a state as the non-federal share (§ 1903(w)(6)(A)); states can fund their Medicaid share from general revenue, provider taxes or IGTs</t>
        </is>
      </c>
      <c r="D44" s="12" t="inlineStr">
        <is>
          <t>rule mechanic [E]</t>
        </is>
      </c>
      <c r="E44" s="12" t="inlineStr">
        <is>
          <t>Social Security Act</t>
        </is>
      </c>
      <c r="F44" s="12" t="inlineStr">
        <is>
          <t>SSA § 1902(a)(10)(A)(i)(VIII); SSA § 1903(w)(6)(A); note sec. 2 and App. B</t>
        </is>
      </c>
      <c r="G44" s="12" t="inlineStr">
        <is>
          <t>Note App. B, 'Draft note, expansion states'</t>
        </is>
      </c>
      <c r="H44" s="12" t="inlineStr">
        <is>
          <t>Definitions of expansion states and IGTs</t>
        </is>
      </c>
      <c r="I44" s="12" t="inlineStr">
        <is>
          <t>federal</t>
        </is>
      </c>
      <c r="J44" s="12" t="inlineStr">
        <is>
          <t>n/a</t>
        </is>
      </c>
      <c r="K44" s="12" t="inlineStr">
        <is>
          <t>n/a</t>
        </is>
      </c>
      <c r="L44" s="12" t="inlineStr">
        <is>
          <t>not scenario-dependent</t>
        </is>
      </c>
      <c r="M44" s="12" t="inlineStr">
        <is>
          <t>Citation check: both confirmed in the U.S. Code 2024 edition. § 1903(w)(6)(A) does not use the words 'intergovernmental transfer' (v17 words the claim so it does not say it does).</t>
        </is>
      </c>
      <c r="N44" s="12" t="inlineStr">
        <is>
          <t>verified — Citation check</t>
        </is>
      </c>
    </row>
    <row r="45" ht="53.25" customHeight="1" s="10">
      <c r="A45" s="12" t="inlineStr">
        <is>
          <t>1. Rule mechanics</t>
        </is>
      </c>
      <c r="B45" s="13" t="inlineStr">
        <is>
          <t>RM-44</t>
        </is>
      </c>
      <c r="C45" s="12" t="inlineStr">
        <is>
          <t>The financing source decides which rule reaches an SDP: a tax-funded SDP is capped by the SDP rule, and the provider tax rule limits the taxes that fund it, while an SDP funded only by IGTs faces the cap alone</t>
        </is>
      </c>
      <c r="D45" s="12" t="inlineStr">
        <is>
          <t>rule mechanic [I]</t>
        </is>
      </c>
      <c r="E45" s="12" t="inlineStr">
        <is>
          <t>[FIRM]</t>
        </is>
      </c>
      <c r="F45" s="12" t="inlineStr">
        <is>
          <t>Note sec. 2</t>
        </is>
      </c>
      <c r="G45" s="12" t="inlineStr">
        <is>
          <t>Note sec. 2</t>
        </is>
      </c>
      <c r="H45" s="12" t="inlineStr">
        <is>
          <t>Which rule reaches which financing source</t>
        </is>
      </c>
      <c r="I45" s="12" t="inlineStr">
        <is>
          <t>SDP level</t>
        </is>
      </c>
      <c r="J45" s="12" t="inlineStr">
        <is>
          <t>prospective</t>
        </is>
      </c>
      <c r="K45" s="12" t="inlineStr">
        <is>
          <t>n/a</t>
        </is>
      </c>
      <c r="L45" s="12" t="inlineStr">
        <is>
          <t>not scenario-dependent</t>
        </is>
      </c>
      <c r="M45" s="12" t="inlineStr">
        <is>
          <t>Follows from RM-13 (80–90% of SDPs relied on provider taxes or IGTs), RM-43 (IGT definition) and the lower-threshold mechanics (RM-28). Related: SE-21, CE-40. Because provider taxes fund many SDPs and both rules reach tax-funded SDPs, CMS's estimates overlap (CE-14).</t>
        </is>
      </c>
      <c r="N45" s="12" t="inlineStr">
        <is>
          <t>verified as inference</t>
        </is>
      </c>
    </row>
    <row r="46" ht="84.75" customHeight="1" s="10">
      <c r="A46" s="12" t="inlineStr">
        <is>
          <t>1. Rule mechanics</t>
        </is>
      </c>
      <c r="B46" s="13" t="inlineStr">
        <is>
          <t>RM-45</t>
        </is>
      </c>
      <c r="C46" s="12" t="inlineStr">
        <is>
          <t>A state's SDP preprint, the form it submits to get CMS's written prior approval for an SDP, lists funding sources by type and reports IGT dollars by transferring entity but no provider tax dollars</t>
        </is>
      </c>
      <c r="D46" s="12" t="inlineStr">
        <is>
          <t>rule mechanic [E]</t>
        </is>
      </c>
      <c r="E46" s="12" t="inlineStr">
        <is>
          <t>SDP preprint, Section VI</t>
        </is>
      </c>
      <c r="F46" s="12" t="inlineStr">
        <is>
          <t>SDP preprint, Section VI (financing fields); note sec. 7 step 3, App. C</t>
        </is>
      </c>
      <c r="G46" s="12" t="inlineStr">
        <is>
          <t>Note sec. 7, step 3</t>
        </is>
      </c>
      <c r="H46" s="12" t="inlineStr">
        <is>
          <t>What the preprint reports about financing</t>
        </is>
      </c>
      <c r="I46" s="12" t="inlineStr">
        <is>
          <t>federal form</t>
        </is>
      </c>
      <c r="J46" s="12" t="inlineStr">
        <is>
          <t>n/a</t>
        </is>
      </c>
      <c r="K46" s="12" t="inlineStr">
        <is>
          <t>n/a</t>
        </is>
      </c>
      <c r="L46" s="12" t="inlineStr">
        <is>
          <t>not scenario-dependent</t>
        </is>
      </c>
      <c r="M46" s="12" t="inlineStr">
        <is>
          <t>Not read for this ledger or in the verification files; named in the change map as 'U-5' (the preprint's financing fields) and carried as an open re-check. Supports NC-18.</t>
        </is>
      </c>
      <c r="N46" s="12" t="inlineStr">
        <is>
          <t>single-source — the preprint form was not read in the verification files — NEEDS VERIFICATION [DL3] SDP preprint, Section VI (financing fields) is on the decision-log re-check list (sec. 7 step 3).</t>
        </is>
      </c>
    </row>
    <row r="47" ht="116.25" customHeight="1" s="10">
      <c r="A47" s="12" t="inlineStr">
        <is>
          <t>1. Rule mechanics</t>
        </is>
      </c>
      <c r="B47" s="13" t="inlineStr">
        <is>
          <t>RM-46</t>
        </is>
      </c>
      <c r="C47" s="12" t="inlineStr">
        <is>
          <t>Step 2 (a hospital's lower provider tax bill) is zero in non-expansion states unless the state enacted or raised the tax after July 4, 2025, since CMS says taxes not in place on that date could not continue past October 1, 2026; it is zero for a tax already at or below the threshold</t>
        </is>
      </c>
      <c r="D47" s="12" t="inlineStr">
        <is>
          <t>rule mechanic [E]/[I]</t>
        </is>
      </c>
      <c r="E47" s="12" t="inlineStr">
        <is>
          <t>CMS-2452-P</t>
        </is>
      </c>
      <c r="F47" s="12" t="inlineStr">
        <is>
          <t>91 FR 46589; note sec. 7 step 2</t>
        </is>
      </c>
      <c r="G47" s="12" t="inlineStr">
        <is>
          <t>Note sec. 7, step 2</t>
        </is>
      </c>
      <c r="H47" s="12" t="inlineStr">
        <is>
          <t>When the lower-tax-bill step applies</t>
        </is>
      </c>
      <c r="I47" s="12" t="inlineStr">
        <is>
          <t>hospital level; non-expansion states</t>
        </is>
      </c>
      <c r="J47" s="12" t="inlineStr">
        <is>
          <t>from October 1, 2026</t>
        </is>
      </c>
      <c r="K47" s="12" t="inlineStr">
        <is>
          <t>n/a</t>
        </is>
      </c>
      <c r="L47" s="12" t="inlineStr">
        <is>
          <t>not scenario-dependent</t>
        </is>
      </c>
      <c r="M47" s="12" t="inlineStr">
        <is>
          <t>The CMS limb ('taxes not in place on that date could not continue past October 1, 2026') is a pinpoint from the new-text check; the conclusions about non-expansion states and at-threshold taxes are v17's [I] reading. Consistent with RM-08 (the lower threshold applies to expansion states only) and RM-27 (freeze at July 4, 2025 levels). CORRECTED October 13, 2026 (verification_v4_log.md): 91 FR 46589 read in the CMS-2452-P, govinfo PDF (FR Doc. 2026-14897). The sentence concerns taxes not already enacted and imposed as of July 4, 2025 that are in CMS's $98.6 billion and says only some would be ineligible past October 1, 2026. The freeze start (October 1, 2026) is also at 46589. v17's [I] conclusion that step 2 is zero in non-expansion states rests on the stronger wording and needs the qualifier.</t>
        </is>
      </c>
      <c r="N47" s="12" t="inlineStr">
        <is>
          <t>corrected — source says such taxes are included in CMS's revenue estimate and “in some cases, these taxes would be ineligible to remain in place beyond October 1, 2026 under the provisions of this proposed rule” (91 FR 46589). v17 says they could not continue past October 1, 2026, without the 'in some cases' limit. v17 must reword sec. 7 step 2 (see verification_v4_log.md). Base status was single-source.</t>
        </is>
      </c>
    </row>
    <row r="48" ht="63.75" customHeight="1" s="10">
      <c r="A48" s="12" t="inlineStr">
        <is>
          <t>1. Rule mechanics</t>
        </is>
      </c>
      <c r="B48" s="13" t="inlineStr">
        <is>
          <t>RM-47</t>
        </is>
      </c>
      <c r="C48" s="12" t="inlineStr">
        <is>
          <t>The lower threshold limits a tax class's revenue as a share of the class's net patient revenue, not a hospital's own rate, so the state's plan for the tax decides a hospital's bill; the new threshold percentage will be set for each permissible class</t>
        </is>
      </c>
      <c r="D48" s="12" t="inlineStr">
        <is>
          <t>rule mechanic [E]/[I]</t>
        </is>
      </c>
      <c r="E48" s="12" t="inlineStr">
        <is>
          <t>CMS-2452-P</t>
        </is>
      </c>
      <c r="F48" s="12" t="inlineStr">
        <is>
          <t>91 FR 46574 (per-class threshold); note sec. 7 step 2</t>
        </is>
      </c>
      <c r="G48" s="12" t="inlineStr">
        <is>
          <t>Note sec. 7, step 2</t>
        </is>
      </c>
      <c r="H48" s="12" t="inlineStr">
        <is>
          <t>What the threshold applies to</t>
        </is>
      </c>
      <c r="I48" s="12" t="inlineStr">
        <is>
          <t>tax class</t>
        </is>
      </c>
      <c r="J48" s="12" t="inlineStr">
        <is>
          <t>from FFY2028</t>
        </is>
      </c>
      <c r="K48" s="12" t="inlineStr">
        <is>
          <t>n/a</t>
        </is>
      </c>
      <c r="L48" s="12" t="inlineStr">
        <is>
          <t>not scenario-dependent</t>
        </is>
      </c>
      <c r="M48" s="12" t="inlineStr">
        <is>
          <t>Round 3 item 3 confirmed 91 FR 46574: CMS will 'calculate and provide to States the new threshold percentage applicable to each permissible class'; the next sentence after the September 30, 2028 date. The reading that the threshold limits class revenue rather than the hospital's own rate, and that the state's plan decides the hospital's bill, is [FIRM]'s.</t>
        </is>
      </c>
      <c r="N48" s="12" t="inlineStr">
        <is>
          <t>verified with caveat — per-class threshold confirmed; the hospital-bill reading is [I]</t>
        </is>
      </c>
    </row>
    <row r="49" ht="42.75" customHeight="1" s="10">
      <c r="A49" s="12" t="inlineStr">
        <is>
          <t>1. Rule mechanics</t>
        </is>
      </c>
      <c r="B49" s="13" t="inlineStr">
        <is>
          <t>RM-48</t>
        </is>
      </c>
      <c r="C49" s="12" t="inlineStr">
        <is>
          <t>A hospital's inputs for step 1 are its managed care remittances (what it receives), the state's approved preprint (each program's design) and the state's managed care contracts (when rating periods begin)</t>
        </is>
      </c>
      <c r="D49" s="12" t="inlineStr">
        <is>
          <t>contextual [I]</t>
        </is>
      </c>
      <c r="E49" s="12" t="inlineStr">
        <is>
          <t>[FIRM]</t>
        </is>
      </c>
      <c r="F49" s="12" t="inlineStr">
        <is>
          <t>Note App. C, 'Draft note, inputs for sec. 7, step 1'; sec. 7 step 1</t>
        </is>
      </c>
      <c r="G49" s="12" t="inlineStr">
        <is>
          <t>Note App. C</t>
        </is>
      </c>
      <c r="H49" s="12" t="inlineStr">
        <is>
          <t>Data sources for the hospital-level method</t>
        </is>
      </c>
      <c r="I49" s="12" t="inlineStr">
        <is>
          <t>hospital level</t>
        </is>
      </c>
      <c r="J49" s="12" t="inlineStr">
        <is>
          <t>n/a</t>
        </is>
      </c>
      <c r="K49" s="12" t="inlineStr">
        <is>
          <t>n/a</t>
        </is>
      </c>
      <c r="L49" s="12" t="inlineStr">
        <is>
          <t>not scenario-dependent</t>
        </is>
      </c>
      <c r="M49" s="12" t="inlineStr">
        <is>
          <t>Method guidance, not a finding. Depends on RM-45 for what the preprint contains.</t>
        </is>
      </c>
      <c r="N49" s="12" t="inlineStr">
        <is>
          <t>verified as inference</t>
        </is>
      </c>
    </row>
    <row r="50" ht="42.75" customHeight="1" s="10">
      <c r="A50" s="12" t="inlineStr">
        <is>
          <t>1. Rule mechanics</t>
        </is>
      </c>
      <c r="B50" s="13" t="inlineStr">
        <is>
          <t>RM-49</t>
        </is>
      </c>
      <c r="C50" s="12" t="inlineStr">
        <is>
          <t>A final rule with a revised Regulatory Impact Analysis, especially any change to CMS's 65 percent tax-financed assumption (which sets the size of the overlap) or its assumed price ratios, would change CMS's estimates</t>
        </is>
      </c>
      <c r="D50" s="12" t="inlineStr">
        <is>
          <t>rule mechanic - monitoring item [I]</t>
        </is>
      </c>
      <c r="E50" s="12" t="inlineStr">
        <is>
          <t>[FIRM]</t>
        </is>
      </c>
      <c r="F50" s="12" t="inlineStr">
        <is>
          <t>Note sec. 9, item 1</t>
        </is>
      </c>
      <c r="G50" s="12" t="inlineStr">
        <is>
          <t>Note sec. 9, item 1</t>
        </is>
      </c>
      <c r="H50" s="12" t="inlineStr">
        <is>
          <t>A trigger for revising the estimates</t>
        </is>
      </c>
      <c r="I50" s="12" t="inlineStr">
        <is>
          <t>federal</t>
        </is>
      </c>
      <c r="J50" s="12" t="inlineStr">
        <is>
          <t>prospective</t>
        </is>
      </c>
      <c r="K50" s="12" t="inlineStr">
        <is>
          <t>n/a</t>
        </is>
      </c>
      <c r="L50" s="12" t="inlineStr">
        <is>
          <t>not scenario-dependent</t>
        </is>
      </c>
      <c r="M50" s="12" t="inlineStr">
        <is>
          <t>Depends on CE-32 (65 percent central parameter) and CE-26 (price ratios). No new factual claim.</t>
        </is>
      </c>
      <c r="N50" s="12" t="inlineStr">
        <is>
          <t>verified as inference</t>
        </is>
      </c>
    </row>
    <row r="51" ht="32.25" customHeight="1" s="10">
      <c r="A51" s="12" t="inlineStr">
        <is>
          <t>1. Rule mechanics</t>
        </is>
      </c>
      <c r="B51" s="13" t="inlineStr">
        <is>
          <t>RM-50</t>
        </is>
      </c>
      <c r="C51" s="12" t="inlineStr">
        <is>
          <t>State legislative and budget decisions on the lower threshold decide whether states absorb the cuts, replace the lost money or pass the cuts on to providers</t>
        </is>
      </c>
      <c r="D51" s="12" t="inlineStr">
        <is>
          <t>rule mechanic - monitoring item [C]</t>
        </is>
      </c>
      <c r="E51" s="12" t="inlineStr">
        <is>
          <t>[FIRM]</t>
        </is>
      </c>
      <c r="F51" s="12" t="inlineStr">
        <is>
          <t>Note sec. 9, item 11</t>
        </is>
      </c>
      <c r="G51" s="12" t="inlineStr">
        <is>
          <t>Note sec. 9, item 11</t>
        </is>
      </c>
      <c r="H51" s="12" t="inlineStr">
        <is>
          <t>A contingent outcome that depends on facts not yet public</t>
        </is>
      </c>
      <c r="I51" s="12" t="inlineStr">
        <is>
          <t>state level</t>
        </is>
      </c>
      <c r="J51" s="12" t="inlineStr">
        <is>
          <t>prospective</t>
        </is>
      </c>
      <c r="K51" s="12" t="inlineStr">
        <is>
          <t>n/a</t>
        </is>
      </c>
      <c r="L51" s="12" t="inlineStr">
        <is>
          <t>conditional</t>
        </is>
      </c>
      <c r="M51" s="12" t="inlineStr">
        <is>
          <t>Tagged [C] in v17: depends on decisions not yet made. Related: AC-03, RM-44.</t>
        </is>
      </c>
      <c r="N51" s="12" t="inlineStr">
        <is>
          <t>verified as conditional</t>
        </is>
      </c>
    </row>
    <row r="52" ht="21.75" customHeight="1" s="10">
      <c r="A52" s="12" t="inlineStr">
        <is>
          <t>2. CMS estimates</t>
        </is>
      </c>
      <c r="B52" s="13" t="inlineStr">
        <is>
          <t>CE-01</t>
        </is>
      </c>
      <c r="C52" s="12" t="inlineStr">
        <is>
          <t>CMS-2449-P projects a total computable reduction of $774.8B</t>
        </is>
      </c>
      <c r="D52" s="12" t="inlineStr">
        <is>
          <t>CMS estimate</t>
        </is>
      </c>
      <c r="E52" s="12" t="inlineStr">
        <is>
          <t>CMS-2449-P RIA</t>
        </is>
      </c>
      <c r="F52" s="12" t="inlineStr">
        <is>
          <t>Tables 18–20, 91 FR 30451–30452; R0146, R0177</t>
        </is>
      </c>
      <c r="G52" s="12" t="inlineStr">
        <is>
          <t>Table 18 total</t>
        </is>
      </c>
      <c r="H52" s="12" t="inlineStr">
        <is>
          <t>Reduction in total Medicaid outlays</t>
        </is>
      </c>
      <c r="I52" s="12" t="inlineStr">
        <is>
          <t>total computable</t>
        </is>
      </c>
      <c r="J52" s="12" t="inlineStr">
        <is>
          <t>FY2026–2035</t>
        </is>
      </c>
      <c r="K52" s="12" t="inlineStr">
        <is>
          <t>real 2026 dollars</t>
        </is>
      </c>
      <c r="L52" s="12" t="inlineStr">
        <is>
          <t>primary</t>
        </is>
      </c>
      <c r="M52" s="12" t="inlineStr">
        <is>
          <t>Internal: 510.1 + 264.7 = 774.8 exactly</t>
        </is>
      </c>
      <c r="N52" s="12" t="inlineStr">
        <is>
          <t>verified</t>
        </is>
      </c>
    </row>
    <row r="53" ht="84.75" customHeight="1" s="10">
      <c r="A53" s="12" t="inlineStr">
        <is>
          <t>2. CMS estimates</t>
        </is>
      </c>
      <c r="B53" s="13" t="inlineStr">
        <is>
          <t>CE-02</t>
        </is>
      </c>
      <c r="C53" s="12" t="inlineStr">
        <is>
          <t>Federal component $510.1B</t>
        </is>
      </c>
      <c r="D53" s="12" t="inlineStr">
        <is>
          <t>CMS estimate</t>
        </is>
      </c>
      <c r="E53" s="12" t="inlineStr">
        <is>
          <t>CMS-2449-P RIA</t>
        </is>
      </c>
      <c r="F53" s="12" t="inlineStr">
        <is>
          <t>Table 19, 91 FR 30452; R0177</t>
        </is>
      </c>
      <c r="G53" s="12" t="inlineStr">
        <is>
          <t>Table 19 total</t>
        </is>
      </c>
      <c r="H53" s="12" t="inlineStr">
        <is>
          <t>Reduction in federal Medicaid outlays</t>
        </is>
      </c>
      <c r="I53" s="12" t="inlineStr">
        <is>
          <t>federal only</t>
        </is>
      </c>
      <c r="J53" s="12" t="inlineStr">
        <is>
          <t>FY2026–2035</t>
        </is>
      </c>
      <c r="K53" s="12" t="inlineStr">
        <is>
          <t>real 2026 dollars</t>
        </is>
      </c>
      <c r="L53" s="12" t="inlineStr">
        <is>
          <t>primary</t>
        </is>
      </c>
      <c r="M53" s="12" t="inlineStr">
        <is>
          <t>Internal: closes CE-01; is one of the two inputs to POLITICO's $756B (SB-04). Row corrected from R0146 to R0177: R0146 is Table 18's -774.8 total, and the pairing was inherited from CE-01. CORRECTION NOW VERIFIED AGAINST THE WORKSHEET: R0177 is CMS-2449-P Table 19, 91 FR 30452, stated ten-year total -510.1, series 'Impact', federal share; R0146 is CMS-2449-P Table 18, 91 FR 30451, stated ten-year total -774.8. The correction is present in both the markdown ledger and the Section A spreadsheet</t>
        </is>
      </c>
      <c r="N53" s="12" t="inlineStr">
        <is>
          <t>verified - R0177 confirmed against the reconciliation worksheet</t>
        </is>
      </c>
    </row>
    <row r="54" ht="63.75" customHeight="1" s="10">
      <c r="A54" s="12" t="inlineStr">
        <is>
          <t>2. CMS estimates</t>
        </is>
      </c>
      <c r="B54" s="13" t="inlineStr">
        <is>
          <t>CE-03</t>
        </is>
      </c>
      <c r="C54" s="12" t="inlineStr">
        <is>
          <t>The SDP rule's state component is $264.7B (the sum of Table 20's cells), not the $264.4B in CMS's text, because only the sum equals $774.8B less $510.1B</t>
        </is>
      </c>
      <c r="D54" s="12" t="inlineStr">
        <is>
          <t>CMS estimate + derived arithmetic [E]/[I]</t>
        </is>
      </c>
      <c r="E54" s="12" t="inlineStr">
        <is>
          <t>CMS-2449-P Table 20 cells; CMS-2452-P narrative</t>
        </is>
      </c>
      <c r="F54" s="12" t="inlineStr">
        <is>
          <t>Table 20, 91 FR 30452 (cells) vs the text at 91 FR 30452 (R0980); CMS-2452-P 91 FR 46592 (R1008); note sec. 3 (state paragraph), App. E</t>
        </is>
      </c>
      <c r="G54" s="12" t="inlineStr">
        <is>
          <t>Note sec. 3; App. E 'Draft note, text against tables'</t>
        </is>
      </c>
      <c r="H54" s="12" t="inlineStr">
        <is>
          <t>Reduction in state Medicaid outlays</t>
        </is>
      </c>
      <c r="I54" s="12" t="inlineStr">
        <is>
          <t>state only</t>
        </is>
      </c>
      <c r="J54" s="12" t="inlineStr">
        <is>
          <t>FY2026–2035</t>
        </is>
      </c>
      <c r="K54" s="12" t="inlineStr">
        <is>
          <t>real 2026 dollars</t>
        </is>
      </c>
      <c r="L54" s="12" t="inlineStr">
        <is>
          <t>primary</t>
        </is>
      </c>
      <c r="M54" s="12" t="inlineStr">
        <is>
          <t>Internal: only 264.7 satisfies 510.1 + X = 774.8; CMS-2452-P independently prints 264.7 UPDATED October 11, 2026: v17 has no footnotes; the former footnote 1 now sits in App. E, and sec. 3 gives the reason for using the sum. Some commenters repeat the $264.4B (TP-33). Previous wording: 'State component is $264.7B, not the $264.4B the narrative prints'</t>
        </is>
      </c>
      <c r="N54" s="12" t="inlineStr">
        <is>
          <t>verified with caveat — CMS prints the state figure three ways across the two documents</t>
        </is>
      </c>
    </row>
    <row r="55" ht="53.25" customHeight="1" s="10">
      <c r="A55" s="12" t="inlineStr">
        <is>
          <t>2. CMS estimates</t>
        </is>
      </c>
      <c r="B55" s="13" t="inlineStr">
        <is>
          <t>CE-04</t>
        </is>
      </c>
      <c r="C55" s="12" t="inlineStr">
        <is>
          <t>Low scenario $408.4B; high scenario $989.7B</t>
        </is>
      </c>
      <c r="D55" s="12" t="inlineStr">
        <is>
          <t>CMS estimate [E]</t>
        </is>
      </c>
      <c r="E55" s="12" t="inlineStr">
        <is>
          <t>CMS-2449-P RIA</t>
        </is>
      </c>
      <c r="F55" s="12" t="inlineStr">
        <is>
          <t>91 FR 30453–30454; R0984, R0987; note App. D ('Draft note, SDP rule parameters')</t>
        </is>
      </c>
      <c r="G55" s="12" t="inlineStr">
        <is>
          <t>Note App. D</t>
        </is>
      </c>
      <c r="H55" s="12" t="inlineStr">
        <is>
          <t>Reduction in total Medicaid outlays</t>
        </is>
      </c>
      <c r="I55" s="12" t="inlineStr">
        <is>
          <t>total computable</t>
        </is>
      </c>
      <c r="J55" s="12" t="inlineStr">
        <is>
          <t>FY2026–2035</t>
        </is>
      </c>
      <c r="K55" s="12" t="inlineStr">
        <is>
          <t>real 2026 dollars</t>
        </is>
      </c>
      <c r="L55" s="12" t="inlineStr">
        <is>
          <t>low / high</t>
        </is>
      </c>
      <c r="M55" s="12" t="inlineStr">
        <is>
          <t>Internal: high is 2.42x low (989.7 / 408.4). The note no longer states the ratio; it survives in this ledger at D-6 only UPDATED October 11, 2026: v17 calls these the low-savings and high-savings totals ($408.4B and $989.7B) and cites them in App. D. Scope of the high-savings total: CE-71.</t>
        </is>
      </c>
      <c r="N55" s="12" t="inlineStr">
        <is>
          <t>verified</t>
        </is>
      </c>
    </row>
    <row r="56" ht="74.25" customHeight="1" s="10">
      <c r="A56" s="12" t="inlineStr">
        <is>
          <t>2. CMS estimates</t>
        </is>
      </c>
      <c r="B56" s="13" t="inlineStr">
        <is>
          <t>CE-05</t>
        </is>
      </c>
      <c r="C56" s="12" t="inlineStr">
        <is>
          <t>FFS targeted practitioner limit: −$2.44B</t>
        </is>
      </c>
      <c r="D56" s="12" t="inlineStr">
        <is>
          <t>CMS estimate [E]</t>
        </is>
      </c>
      <c r="E56" s="12" t="inlineStr">
        <is>
          <t>CMS-2449-P Table 27</t>
        </is>
      </c>
      <c r="F56" s="12" t="inlineStr">
        <is>
          <t>Table 27, 91 FR 30456; R0351; note sec. 1 (SDP table)</t>
        </is>
      </c>
      <c r="G56" s="12" t="inlineStr">
        <is>
          <t>Note sec. 1, SDP table</t>
        </is>
      </c>
      <c r="H56" s="12" t="inlineStr">
        <is>
          <t>Reduction in FFS practitioner payments</t>
        </is>
      </c>
      <c r="I56" s="12" t="inlineStr">
        <is>
          <t>total computable</t>
        </is>
      </c>
      <c r="J56" s="12" t="inlineStr">
        <is>
          <t>FY2029–2035</t>
        </is>
      </c>
      <c r="K56" s="12" t="inlineStr">
        <is>
          <t>real 2026 dollars</t>
        </is>
      </c>
      <c r="L56" s="12" t="inlineStr">
        <is>
          <t>primary</t>
        </is>
      </c>
      <c r="M56" s="12" t="inlineStr">
        <is>
          <t>none located; worksheet row not re-verified UPDATED October 11, 2026: v17 states that the −$2.44B is in 2026 dollars (91 FR 30456), is for 2029–2035 and limits fee-for-service payments that target particular practitioners. VERIFIED October 13, 2026 (verification_v4_log.md): 91 FR 30456 read in the CMS-2449-P, govinfo PDF (FR Doc. 2026-10292): total computable (federal plus non-federal) reduction of $2.44 billion from 2029 through 2035 in real 2026 dollars; Table 27's caption (OCR of the page image) reads 'in billions of real 2026 dollars'.</t>
        </is>
      </c>
      <c r="N56" s="12" t="inlineStr">
        <is>
          <t>verified — upgraded from single-source: re-checked October 13, 2026: 91 FR 30456 matches (−$2.44 billion, 2029–2035, total computable, real 2026 dollars; Table 27).</t>
        </is>
      </c>
    </row>
    <row r="57" ht="74.25" customHeight="1" s="10">
      <c r="A57" s="12" t="inlineStr">
        <is>
          <t>2. CMS estimates</t>
        </is>
      </c>
      <c r="B57" s="13" t="inlineStr">
        <is>
          <t>CE-06</t>
        </is>
      </c>
      <c r="C57" s="12" t="inlineStr">
        <is>
          <t>Extension to non-enumerated services: −$5.34B</t>
        </is>
      </c>
      <c r="D57" s="12" t="inlineStr">
        <is>
          <t>CMS estimate [E]</t>
        </is>
      </c>
      <c r="E57" s="12" t="inlineStr">
        <is>
          <t>CMS-2449-P RIA</t>
        </is>
      </c>
      <c r="F57" s="12" t="inlineStr">
        <is>
          <t>91 FR 30453; R0981; note sec. 1 (SDP table)</t>
        </is>
      </c>
      <c r="G57" s="12" t="inlineStr">
        <is>
          <t>Note sec. 1, SDP table</t>
        </is>
      </c>
      <c r="H57" s="12" t="inlineStr">
        <is>
          <t>Reduction in Medicaid outlays</t>
        </is>
      </c>
      <c r="I57" s="12" t="inlineStr">
        <is>
          <t>federal plus state spending</t>
        </is>
      </c>
      <c r="J57" s="12" t="inlineStr">
        <is>
          <t>FY2029–2035</t>
        </is>
      </c>
      <c r="K57" s="12" t="inlineStr">
        <is>
          <t>real 2026 dollars</t>
        </is>
      </c>
      <c r="L57" s="12" t="inlineStr">
        <is>
          <t>primary</t>
        </is>
      </c>
      <c r="M57" s="12" t="inlineStr">
        <is>
          <t>none located; worksheet row not re-verified UPDATED October 11, 2026: v17 states the −$5.34B 'is federal plus state spending (91 FR 30453)' and states no dollar basis for it, unlike the −$2.44B; the ledger's earlier 'real 2026 dollars' entry is retained pending the pinpoint check. VERIFIED October 13, 2026 (verification_v4_log.md): 91 FR 30453 read in the CMS-2449-P, govinfo PDF (FR Doc. 2026-10292): $5.34 billion over 2029 through 2035, federal $3.51 billion and state $1.83 billion (3.51 + 1.83 = 5.34). Table 21's caption (OCR of the page image) reads 'in billions of 2026 dollars', so the ledger's 2026-dollar basis is confirmed; v17 states only the federal-plus-state basis.</t>
        </is>
      </c>
      <c r="N57" s="12" t="inlineStr">
        <is>
          <t>verified — upgraded from single-source: re-checked October 13, 2026: 91 FR 30453 matches (−$5.34 billion = federal $3.51 billion + state $1.83 billion, 2029–2035); the arithmetic closes.</t>
        </is>
      </c>
    </row>
    <row r="58" ht="32.25" customHeight="1" s="10">
      <c r="A58" s="12" t="inlineStr">
        <is>
          <t>2. CMS estimates</t>
        </is>
      </c>
      <c r="B58" s="13" t="inlineStr">
        <is>
          <t>CE-07</t>
        </is>
      </c>
      <c r="C58" s="12" t="inlineStr">
        <is>
          <t>CMS-2452-P standalone reduction $384.0B = $245.8B federal + $138.2B state</t>
        </is>
      </c>
      <c r="D58" s="12" t="inlineStr">
        <is>
          <t>CMS estimate</t>
        </is>
      </c>
      <c r="E58" s="12" t="inlineStr">
        <is>
          <t>CMS-2452-P Table 11</t>
        </is>
      </c>
      <c r="F58" s="12" t="inlineStr">
        <is>
          <t>Table 11, 91 FR 46591; R0669, R0647, R0658</t>
        </is>
      </c>
      <c r="G58" s="12" t="inlineStr">
        <is>
          <t>Table 11</t>
        </is>
      </c>
      <c r="H58" s="12" t="inlineStr">
        <is>
          <t>Reduction in Medicaid spending, excluding the SDP interaction</t>
        </is>
      </c>
      <c r="I58" s="12" t="inlineStr">
        <is>
          <t>total computable, split federal and state</t>
        </is>
      </c>
      <c r="J58" s="12" t="inlineStr">
        <is>
          <t>FY2026–2035</t>
        </is>
      </c>
      <c r="K58" s="12" t="inlineStr">
        <is>
          <t>real 2026 dollars</t>
        </is>
      </c>
      <c r="L58" s="12" t="inlineStr">
        <is>
          <t>primary, excluding interaction</t>
        </is>
      </c>
      <c r="M58" s="12" t="inlineStr">
        <is>
          <t>Internal: 245.8 + 138.2 = 384.0 exactly. HFMA reports the same two components (P4). Georgetown CCF independently reports the $245.8B federal figure and attributes it to CMS (C3)</t>
        </is>
      </c>
      <c r="N58" s="12" t="inlineStr">
        <is>
          <t>verified</t>
        </is>
      </c>
    </row>
    <row r="59" ht="21.75" customHeight="1" s="10">
      <c r="A59" s="12" t="inlineStr">
        <is>
          <t>2. CMS estimates</t>
        </is>
      </c>
      <c r="B59" s="13" t="inlineStr">
        <is>
          <t>CE-08</t>
        </is>
      </c>
      <c r="C59" s="12" t="inlineStr">
        <is>
          <t>New-tax freeze reduces state provider tax revenue $51.0B; threshold phase-down a further $147.7B; $198.7B combined</t>
        </is>
      </c>
      <c r="D59" s="12" t="inlineStr">
        <is>
          <t>CMS estimate</t>
        </is>
      </c>
      <c r="E59" s="12" t="inlineStr">
        <is>
          <t>CMS-2452-P Tables 6, 7, 8</t>
        </is>
      </c>
      <c r="F59" s="12" t="inlineStr">
        <is>
          <t>91 FR 46589–46590; R0526, R0537, R0548</t>
        </is>
      </c>
      <c r="G59" s="12" t="inlineStr">
        <is>
          <t>Tables 6–8</t>
        </is>
      </c>
      <c r="H59" s="12" t="inlineStr">
        <is>
          <t>State tax revenue no longer collected</t>
        </is>
      </c>
      <c r="I59" s="12" t="inlineStr">
        <is>
          <t>state only</t>
        </is>
      </c>
      <c r="J59" s="12" t="inlineStr">
        <is>
          <t>FY2026–2035</t>
        </is>
      </c>
      <c r="K59" s="12" t="inlineStr">
        <is>
          <t>real 2026 dollars</t>
        </is>
      </c>
      <c r="L59" s="12" t="inlineStr">
        <is>
          <t>primary</t>
        </is>
      </c>
      <c r="M59" s="12" t="inlineStr">
        <is>
          <t>Internal: 51.0 + 147.7 = 198.7 exactly. Georgetown CCF independently reports $198.7B, attributed to CMS (C3)</t>
        </is>
      </c>
      <c r="N59" s="12" t="inlineStr">
        <is>
          <t>verified</t>
        </is>
      </c>
    </row>
    <row r="60" ht="21.75" customHeight="1" s="10">
      <c r="A60" s="12" t="inlineStr">
        <is>
          <t>2. CMS estimates</t>
        </is>
      </c>
      <c r="B60" s="13" t="inlineStr">
        <is>
          <t>CE-09</t>
        </is>
      </c>
      <c r="C60" s="12" t="inlineStr">
        <is>
          <t>Table 8 allocates the $198.7B as $163.7B to providers and $35.0B to private payers</t>
        </is>
      </c>
      <c r="D60" s="12" t="inlineStr">
        <is>
          <t>CMS estimate</t>
        </is>
      </c>
      <c r="E60" s="12" t="inlineStr">
        <is>
          <t>CMS-2452-P Table 8</t>
        </is>
      </c>
      <c r="F60" s="12" t="inlineStr">
        <is>
          <t>Table 8, 91 FR 46590; R0559, R0570</t>
        </is>
      </c>
      <c r="G60" s="12" t="inlineStr">
        <is>
          <t>Table 8</t>
        </is>
      </c>
      <c r="H60" s="12" t="inlineStr">
        <is>
          <t>Incidence of the tax reduction</t>
        </is>
      </c>
      <c r="I60" s="12" t="inlineStr">
        <is>
          <t>provider aggregate and private payers</t>
        </is>
      </c>
      <c r="J60" s="12" t="inlineStr">
        <is>
          <t>FY2026–2035</t>
        </is>
      </c>
      <c r="K60" s="12" t="inlineStr">
        <is>
          <t>real 2026 dollars</t>
        </is>
      </c>
      <c r="L60" s="12" t="inlineStr">
        <is>
          <t>primary</t>
        </is>
      </c>
      <c r="M60" s="12" t="inlineStr">
        <is>
          <t>Internal: 163.7 + 35.0 = 198.7 exactly. HFMA independently reports the $163.7B (P4, C3)</t>
        </is>
      </c>
      <c r="N60" s="12" t="inlineStr">
        <is>
          <t>verified</t>
        </is>
      </c>
    </row>
    <row r="61" ht="32.25" customHeight="1" s="10">
      <c r="A61" s="12" t="inlineStr">
        <is>
          <t>2. CMS estimates</t>
        </is>
      </c>
      <c r="B61" s="13" t="inlineStr">
        <is>
          <t>CE-10</t>
        </is>
      </c>
      <c r="C61" s="12" t="inlineStr">
        <is>
          <t>Table 12, excluding the SDP interaction: federal +$245.8B, states −$60.5B, providers −$220.3B, private payers +$35.0B</t>
        </is>
      </c>
      <c r="D61" s="12" t="inlineStr">
        <is>
          <t>CMS estimate</t>
        </is>
      </c>
      <c r="E61" s="12" t="inlineStr">
        <is>
          <t>CMS-2452-P Table 12</t>
        </is>
      </c>
      <c r="F61" s="12" t="inlineStr">
        <is>
          <t>Table 12, 91 FR 46592; R0680, R0691, R0702, R0713</t>
        </is>
      </c>
      <c r="G61" s="12" t="inlineStr">
        <is>
          <t>Table 12</t>
        </is>
      </c>
      <c r="H61" s="12" t="inlineStr">
        <is>
          <t>Distributional transfer account</t>
        </is>
      </c>
      <c r="I61" s="12" t="inlineStr">
        <is>
          <t>all four parties</t>
        </is>
      </c>
      <c r="J61" s="12" t="inlineStr">
        <is>
          <t>FY2026–2035</t>
        </is>
      </c>
      <c r="K61" s="12" t="inlineStr">
        <is>
          <t>real 2026 dollars</t>
        </is>
      </c>
      <c r="L61" s="12" t="inlineStr">
        <is>
          <t>primary, excluding interaction</t>
        </is>
      </c>
      <c r="M61" s="12" t="inlineStr">
        <is>
          <t>Internal: the four printed entries sum to exactly 0.0. States row = 138.2 − 198.7 = −60.5. Providers row = 384.0 − 163.7 = 220.3. Both close to the decimal</t>
        </is>
      </c>
      <c r="N61" s="12" t="inlineStr">
        <is>
          <t>verified</t>
        </is>
      </c>
    </row>
    <row r="62" ht="21.75" customHeight="1" s="10">
      <c r="A62" s="12" t="inlineStr">
        <is>
          <t>2. CMS estimates</t>
        </is>
      </c>
      <c r="B62" s="13" t="inlineStr">
        <is>
          <t>CE-11</t>
        </is>
      </c>
      <c r="C62" s="12" t="inlineStr">
        <is>
          <t>Table 14, including the SDP interaction: federal +$90.9B, states −$147.5B, providers +$21.7B, private payers +$35.0B</t>
        </is>
      </c>
      <c r="D62" s="12" t="inlineStr">
        <is>
          <t>CMS estimate</t>
        </is>
      </c>
      <c r="E62" s="12" t="inlineStr">
        <is>
          <t>CMS-2452-P Table 14</t>
        </is>
      </c>
      <c r="F62" s="12" t="inlineStr">
        <is>
          <t>Table 14, 91 FR 46593; R0757, R0768, R0779, R0790</t>
        </is>
      </c>
      <c r="G62" s="12" t="inlineStr">
        <is>
          <t>Table 14</t>
        </is>
      </c>
      <c r="H62" s="12" t="inlineStr">
        <is>
          <t>Distributional transfer account</t>
        </is>
      </c>
      <c r="I62" s="12" t="inlineStr">
        <is>
          <t>all four parties</t>
        </is>
      </c>
      <c r="J62" s="12" t="inlineStr">
        <is>
          <t>FY2026–2035</t>
        </is>
      </c>
      <c r="K62" s="12" t="inlineStr">
        <is>
          <t>real 2026 dollars</t>
        </is>
      </c>
      <c r="L62" s="12" t="inlineStr">
        <is>
          <t>primary, including interaction</t>
        </is>
      </c>
      <c r="M62" s="12" t="inlineStr">
        <is>
          <t>Internal: entries sum to +0.1, inside the stated noise floor. Federal = 245.8 − 154.9 = 90.9 exactly; states = −60.5 − 87.0 = −147.5 exactly</t>
        </is>
      </c>
      <c r="N62" s="12" t="inlineStr">
        <is>
          <t>verified</t>
        </is>
      </c>
    </row>
    <row r="63" ht="32.25" customHeight="1" s="10">
      <c r="A63" s="12" t="inlineStr">
        <is>
          <t>2. CMS estimates</t>
        </is>
      </c>
      <c r="B63" s="13" t="inlineStr">
        <is>
          <t>CE-12</t>
        </is>
      </c>
      <c r="C63" s="12" t="inlineStr">
        <is>
          <t>Tables 12 and 14 differ only in their treatment of the SDP-rule interaction: same parties, same scenario, opposite sides of the overlap</t>
        </is>
      </c>
      <c r="D63" s="12" t="inlineStr">
        <is>
          <t>derived arithmetic</t>
        </is>
      </c>
      <c r="E63" s="12" t="inlineStr">
        <is>
          <t>CMS-2452-P Tables 12, 14</t>
        </is>
      </c>
      <c r="F63" s="12" t="inlineStr">
        <is>
          <t>91 FR 46592–46593</t>
        </is>
      </c>
      <c r="G63" s="12" t="inlineStr">
        <is>
          <t>Both tables</t>
        </is>
      </c>
      <c r="H63" s="12" t="inlineStr">
        <is>
          <t>Basis distinction between two transfer accounts</t>
        </is>
      </c>
      <c r="I63" s="12" t="inlineStr">
        <is>
          <t>provider aggregate and government</t>
        </is>
      </c>
      <c r="J63" s="12" t="inlineStr">
        <is>
          <t>FY2026–2035</t>
        </is>
      </c>
      <c r="K63" s="12" t="inlineStr">
        <is>
          <t>real 2026 dollars</t>
        </is>
      </c>
      <c r="L63" s="12" t="inlineStr">
        <is>
          <t>primary, both sides of the overlap</t>
        </is>
      </c>
      <c r="M63" s="12" t="inlineStr">
        <is>
          <t>Internal: each row differs from its counterpart by exactly its overlap component — federal 154.9, state 87.0, providers 241.9, private payers 0</t>
        </is>
      </c>
      <c r="N63" s="12" t="inlineStr">
        <is>
          <t>verified</t>
        </is>
      </c>
    </row>
    <row r="64" ht="147.75" customHeight="1" s="10">
      <c r="A64" s="12" t="inlineStr">
        <is>
          <t>2. CMS estimates</t>
        </is>
      </c>
      <c r="B64" s="13" t="inlineStr">
        <is>
          <t>CE-13</t>
        </is>
      </c>
      <c r="C64" s="12" t="inlineStr">
        <is>
          <t>The provider line in each table is a net figure, not a gross payment reduction</t>
        </is>
      </c>
      <c r="D64" s="12" t="inlineStr">
        <is>
          <t>derived arithmetic</t>
        </is>
      </c>
      <c r="E64" s="12" t="inlineStr">
        <is>
          <t>CMS-2452-P Tables 8, 11, 12, 14</t>
        </is>
      </c>
      <c r="F64" s="12" t="inlineStr">
        <is>
          <t>91 FR 46590–46593</t>
        </is>
      </c>
      <c r="G64" s="12" t="inlineStr">
        <is>
          <t>Note sec. 2.1</t>
        </is>
      </c>
      <c r="H64" s="12" t="inlineStr">
        <is>
          <t>Identification of how the provider row is constructed</t>
        </is>
      </c>
      <c r="I64" s="12" t="inlineStr">
        <is>
          <t>provider aggregate</t>
        </is>
      </c>
      <c r="J64" s="12" t="inlineStr">
        <is>
          <t>FY2026–2035</t>
        </is>
      </c>
      <c r="K64" s="12" t="inlineStr">
        <is>
          <t>real 2026 dollars</t>
        </is>
      </c>
      <c r="L64" s="12" t="inlineStr">
        <is>
          <t>primary</t>
        </is>
      </c>
      <c r="M64" s="12" t="inlineStr">
        <is>
          <t>SUPERSEDED September 27, 2026. The row's conclusion (the provider line is net) stands, but its cross-check relied on a demonstration that is logically unsound: 'a transfer table cannot balance with one row net and another gross'. A table can balance with a gross provider row, because another row can absorb the difference. The note replaced that demonstration with CMS's own caption for Table 12, 'Projected Net Changes Related to Changes in Provider Tax Revenues and Expenditures' (91 FR 46592). Removed or reversed by: the first adversarial review (D-14). Replaced by: CE-36 and CE-37. Original cross-check, retained for the record: Georgetown CCF reaches the same reading independently, writing that payments fall $220.3B "after taking into account the reduction in the taxes paid by providers" (C3). A transfer table cannot balance with one row net and another gross</t>
        </is>
      </c>
      <c r="N64" s="12" t="inlineStr">
        <is>
          <t>SUPERSEDED — transfer-table argument withdrawn as unsound; replaced by CE-36 and CE-37</t>
        </is>
      </c>
    </row>
    <row r="65" ht="32.25" customHeight="1" s="10">
      <c r="A65" s="12" t="inlineStr">
        <is>
          <t>2. CMS estimates</t>
        </is>
      </c>
      <c r="B65" s="13" t="inlineStr">
        <is>
          <t>CE-14</t>
        </is>
      </c>
      <c r="C65" s="12" t="inlineStr">
        <is>
          <t>$241.9B of provider payment reduction is already attributed to the SDP rule</t>
        </is>
      </c>
      <c r="D65" s="12" t="inlineStr">
        <is>
          <t>CMS estimate</t>
        </is>
      </c>
      <c r="E65" s="12" t="inlineStr">
        <is>
          <t>CMS-2452-P</t>
        </is>
      </c>
      <c r="F65" s="12" t="inlineStr">
        <is>
          <t>91 FR 46592; R1010</t>
        </is>
      </c>
      <c r="G65" s="12" t="inlineStr">
        <is>
          <t>"The difference ($241.9 billion) represents the amount of provider payment reductions already attributed to the reduction in SDPs"</t>
        </is>
      </c>
      <c r="H65" s="12" t="inlineStr">
        <is>
          <t>Overlap between the two rules</t>
        </is>
      </c>
      <c r="I65" s="12" t="inlineStr">
        <is>
          <t>total computable</t>
        </is>
      </c>
      <c r="J65" s="12" t="inlineStr">
        <is>
          <t>FY2026–2035</t>
        </is>
      </c>
      <c r="K65" s="12" t="inlineStr">
        <is>
          <t>real 2026 dollars</t>
        </is>
      </c>
      <c r="L65" s="12" t="inlineStr">
        <is>
          <t>primary</t>
        </is>
      </c>
      <c r="M65" s="12" t="inlineStr">
        <is>
          <t>Internal: 384.0 − 142.1 = 241.9 and 154.9 + 87.0 = 241.9, both exact</t>
        </is>
      </c>
      <c r="N65" s="12" t="inlineStr">
        <is>
          <t>verified</t>
        </is>
      </c>
    </row>
    <row r="66" ht="21.75" customHeight="1" s="10">
      <c r="A66" s="12" t="inlineStr">
        <is>
          <t>2. CMS estimates</t>
        </is>
      </c>
      <c r="B66" s="13" t="inlineStr">
        <is>
          <t>CE-15</t>
        </is>
      </c>
      <c r="C66" s="12" t="inlineStr">
        <is>
          <t>The overlap splits $154.9B federal and $87.0B state</t>
        </is>
      </c>
      <c r="D66" s="12" t="inlineStr">
        <is>
          <t>CMS estimate</t>
        </is>
      </c>
      <c r="E66" s="12" t="inlineStr">
        <is>
          <t>CMS-2452-P</t>
        </is>
      </c>
      <c r="F66" s="12" t="inlineStr">
        <is>
          <t>91 FR 46592; R1011</t>
        </is>
      </c>
      <c r="G66" s="12" t="inlineStr">
        <is>
          <t>Narrative</t>
        </is>
      </c>
      <c r="H66" s="12" t="inlineStr">
        <is>
          <t>Federal and state components of the overlap</t>
        </is>
      </c>
      <c r="I66" s="12" t="inlineStr">
        <is>
          <t>federal and state</t>
        </is>
      </c>
      <c r="J66" s="12" t="inlineStr">
        <is>
          <t>FY2026–2035</t>
        </is>
      </c>
      <c r="K66" s="12" t="inlineStr">
        <is>
          <t>real 2026 dollars</t>
        </is>
      </c>
      <c r="L66" s="12" t="inlineStr">
        <is>
          <t>primary</t>
        </is>
      </c>
      <c r="M66" s="12" t="inlineStr">
        <is>
          <t>Internal: sums to 241.9 and flows into Table 14's federal and state rows exactly</t>
        </is>
      </c>
      <c r="N66" s="12" t="inlineStr">
        <is>
          <t>verified</t>
        </is>
      </c>
    </row>
    <row r="67" ht="21.75" customHeight="1" s="10">
      <c r="A67" s="12" t="inlineStr">
        <is>
          <t>2. CMS estimates</t>
        </is>
      </c>
      <c r="B67" s="13" t="inlineStr">
        <is>
          <t>CE-16</t>
        </is>
      </c>
      <c r="C67" s="12" t="inlineStr">
        <is>
          <t>The interaction-adjusted payment reduction attributable to CMS-2452-P is $142.1B</t>
        </is>
      </c>
      <c r="D67" s="12" t="inlineStr">
        <is>
          <t>CMS estimate</t>
        </is>
      </c>
      <c r="E67" s="12" t="inlineStr">
        <is>
          <t>CMS-2452-P</t>
        </is>
      </c>
      <c r="F67" s="12" t="inlineStr">
        <is>
          <t>91 FR 46592; R1009</t>
        </is>
      </c>
      <c r="G67" s="12" t="inlineStr">
        <is>
          <t>Narrative</t>
        </is>
      </c>
      <c r="H67" s="12" t="inlineStr">
        <is>
          <t>Incremental provider payment reduction</t>
        </is>
      </c>
      <c r="I67" s="12" t="inlineStr">
        <is>
          <t>provider aggregate</t>
        </is>
      </c>
      <c r="J67" s="12" t="inlineStr">
        <is>
          <t>FY2026–2035</t>
        </is>
      </c>
      <c r="K67" s="12" t="inlineStr">
        <is>
          <t>real 2026 dollars</t>
        </is>
      </c>
      <c r="L67" s="12" t="inlineStr">
        <is>
          <t>primary, including interaction</t>
        </is>
      </c>
      <c r="M67" s="12" t="inlineStr">
        <is>
          <t>Internal: 384.0 − 241.9 = 142.1 exactly</t>
        </is>
      </c>
      <c r="N67" s="12" t="inlineStr">
        <is>
          <t>verified</t>
        </is>
      </c>
    </row>
    <row r="68" ht="74.25" customHeight="1" s="10">
      <c r="A68" s="12" t="inlineStr">
        <is>
          <t>2. CMS estimates</t>
        </is>
      </c>
      <c r="B68" s="13" t="inlineStr">
        <is>
          <t>CE-17</t>
        </is>
      </c>
      <c r="C68" s="12" t="inlineStr">
        <is>
          <t>The bridge closes two independent ways: −220.3 + 241.9 = 21.6, printed 21.7; and 163.7 − 142.1 = 21.6, printed 21.7</t>
        </is>
      </c>
      <c r="D68" s="12" t="inlineStr">
        <is>
          <t>derived arithmetic [I]</t>
        </is>
      </c>
      <c r="E68" s="12" t="inlineStr">
        <is>
          <t>CMS-2452-P Tables 8, 12, 14 and narrative</t>
        </is>
      </c>
      <c r="F68" s="12" t="inlineStr">
        <is>
          <t>91 FR 46590–46593</t>
        </is>
      </c>
      <c r="G68" s="12" t="inlineStr">
        <is>
          <t>Note sec. 2.2</t>
        </is>
      </c>
      <c r="H68" s="12" t="inlineStr">
        <is>
          <t>Two independent reconciliations of the same printed figure</t>
        </is>
      </c>
      <c r="I68" s="12" t="inlineStr">
        <is>
          <t>provider aggregate</t>
        </is>
      </c>
      <c r="J68" s="12" t="inlineStr">
        <is>
          <t>FY2026–2035</t>
        </is>
      </c>
      <c r="K68" s="12" t="inlineStr">
        <is>
          <t>real 2026 dollars</t>
        </is>
      </c>
      <c r="L68" s="12" t="inlineStr">
        <is>
          <t>primary</t>
        </is>
      </c>
      <c r="M68" s="12" t="inlineStr">
        <is>
          <t>Internal: both recomputed; the 0.1 gap sits inside the stated 0.3 to 0.4 noise floor (CE-53) UPDATED October 11, 2026: v17 states one of the two bridges, in sec. 5 and App. E: '$163.7 billion less $142.1 billion is $21.6 billion; the difference is rounding in CMS's components'. The other bridge (−220.3 + 241.9) is not stated in v17. v17 no longer states the 0.3 to 0.4 noise floor (CE-53 is superseded).</t>
        </is>
      </c>
      <c r="N68" s="12" t="inlineStr">
        <is>
          <t>verified</t>
        </is>
      </c>
    </row>
    <row r="69" ht="21.75" customHeight="1" s="10">
      <c r="A69" s="12" t="inlineStr">
        <is>
          <t>2. CMS estimates</t>
        </is>
      </c>
      <c r="B69" s="13" t="inlineStr">
        <is>
          <t>CE-18</t>
        </is>
      </c>
      <c r="C69" s="12" t="inlineStr">
        <is>
          <t>Including the interaction, the net provider figure runs +$149.6B low, +$21.7B primary, −$136.1B high</t>
        </is>
      </c>
      <c r="D69" s="12" t="inlineStr">
        <is>
          <t>CMS estimate</t>
        </is>
      </c>
      <c r="E69" s="12" t="inlineStr">
        <is>
          <t>CMS-2452-P Tables 18, 14, 16</t>
        </is>
      </c>
      <c r="F69" s="12" t="inlineStr">
        <is>
          <t>91 FR 46593–46594; R0955, R0779, R0867</t>
        </is>
      </c>
      <c r="G69" s="12" t="inlineStr">
        <is>
          <t>Tables 18, 14, 16</t>
        </is>
      </c>
      <c r="H69" s="12" t="inlineStr">
        <is>
          <t>Net provider position</t>
        </is>
      </c>
      <c r="I69" s="12" t="inlineStr">
        <is>
          <t>provider aggregate</t>
        </is>
      </c>
      <c r="J69" s="12" t="inlineStr">
        <is>
          <t>FY2026–2035</t>
        </is>
      </c>
      <c r="K69" s="12" t="inlineStr">
        <is>
          <t>real 2026 dollars</t>
        </is>
      </c>
      <c r="L69" s="12" t="inlineStr">
        <is>
          <t>low / primary / high</t>
        </is>
      </c>
      <c r="M69" s="12" t="inlineStr">
        <is>
          <t>Internal: the range crosses zero, which is the note's load-bearing point at sec. 2.4</t>
        </is>
      </c>
      <c r="N69" s="12" t="inlineStr">
        <is>
          <t>verified</t>
        </is>
      </c>
    </row>
    <row r="70" ht="74.25" customHeight="1" s="10">
      <c r="A70" s="12" t="inlineStr">
        <is>
          <t>2. CMS estimates</t>
        </is>
      </c>
      <c r="B70" s="13" t="inlineStr">
        <is>
          <t>CE-19</t>
        </is>
      </c>
      <c r="C70" s="12" t="inlineStr">
        <is>
          <t>Excluding the interaction, the same three scenarios run −$135.0B, −$220.3B, −$316.5B</t>
        </is>
      </c>
      <c r="D70" s="12" t="inlineStr">
        <is>
          <t>CMS estimate</t>
        </is>
      </c>
      <c r="E70" s="12" t="inlineStr">
        <is>
          <t>CMS-2452-P</t>
        </is>
      </c>
      <c r="F70" s="12" t="inlineStr">
        <is>
          <t>R0911, R0702, R0823; 91 FR 46592–46594</t>
        </is>
      </c>
      <c r="G70" s="12" t="inlineStr">
        <is>
          <t>Tables 17, 12, 15 area</t>
        </is>
      </c>
      <c r="H70" s="12" t="inlineStr">
        <is>
          <t>Net provider position, standalone</t>
        </is>
      </c>
      <c r="I70" s="12" t="inlineStr">
        <is>
          <t>provider aggregate</t>
        </is>
      </c>
      <c r="J70" s="12" t="inlineStr">
        <is>
          <t>FY2026–2035</t>
        </is>
      </c>
      <c r="K70" s="12" t="inlineStr">
        <is>
          <t>real 2026 dollars</t>
        </is>
      </c>
      <c r="L70" s="12" t="inlineStr">
        <is>
          <t>low / primary / high</t>
        </is>
      </c>
      <c r="M70" s="12" t="inlineStr">
        <is>
          <t>Internal: the primary pair differ by 242.0, matching the $241.9B overlap within rounding - but the low pair differ by 284.6 and the high pair by 180.4. The overlap is therefore scenario-specific, and $241.9B is the primary-scenario value only. RESOLVED: the note now states this at sec. 2.3, gives the derived low and high overlaps at CE-33, and carries the scenario qualifier on the $241.9B. D-2 is closed</t>
        </is>
      </c>
      <c r="N70" s="12" t="inlineStr">
        <is>
          <t>verified - the scenario qualifier the earlier ledger flagged as missing is now in the note</t>
        </is>
      </c>
    </row>
    <row r="71" ht="231" customHeight="1" s="10">
      <c r="A71" s="12" t="inlineStr">
        <is>
          <t>2. CMS estimates</t>
        </is>
      </c>
      <c r="B71" s="13" t="inlineStr">
        <is>
          <t>CE-20</t>
        </is>
      </c>
      <c r="C71" s="12" t="inlineStr">
        <is>
          <t>CMS adopts 65 percent as its working assumption for the share of SDP spending financed with provider taxes; the preprint data show about 38 percent tax-financed and a further 37 percent financed with provider taxes together with at least one other source, and CMS does not publish the weighting that converts those observations into either the 65 percent point estimate or the range endpoints</t>
        </is>
      </c>
      <c r="D71" s="12" t="inlineStr">
        <is>
          <t>CMS estimate (assumption)</t>
        </is>
      </c>
      <c r="E71" s="12" t="inlineStr">
        <is>
          <t>CMS-2452-P</t>
        </is>
      </c>
      <c r="F71" s="12" t="inlineStr">
        <is>
          <t>91 FR 46592; R1012</t>
        </is>
      </c>
      <c r="G71" s="12" t="inlineStr">
        <is>
          <t>Narrative</t>
        </is>
      </c>
      <c r="H71" s="12" t="inlineStr">
        <is>
          <t>Share of SDPs financed by provider taxes; the parameter that drives the overlap</t>
        </is>
      </c>
      <c r="I71" s="12" t="inlineStr">
        <is>
          <t>total computable</t>
        </is>
      </c>
      <c r="J71" s="12" t="inlineStr">
        <is>
          <t>n/a</t>
        </is>
      </c>
      <c r="K71" s="12" t="inlineStr">
        <is>
          <t>n/a</t>
        </is>
      </c>
      <c r="L71" s="12" t="inlineStr">
        <is>
          <t>primary</t>
        </is>
      </c>
      <c r="M71" s="12" t="inlineStr">
        <is>
          <t>SUPERSEDED September 27, 2026. The note no longer states CMS's parameter in these terms. It now uses CMS's own word, 'SDPs', for the 38, 37 and 65 percent figures and reserves 'SDP spending' for the 55–75 percent range sentence (CE-48). It also reads the 75 percent upper end as 38 + 37 and says CMS does not explain the 55 percent lower end or the 65 percent point estimate. This row's statements that the 65 percent is a share of 'SDP spending', and that CMS publishes no weighting for 'the range endpoints', conflict with both. Removed or reversed by: the revisions since the September 22, 2026 sync (four revisions, ending at v9); the supplied materials do not identify which of the four. Replaced by: CE-48 and CE-49. Original cross-check, retained for the record: Internal: 38 + 37 = 75, not 65. Closing to 65 requires weighting the mixed-financing block at roughly 0.73. RESOLVED AS A DEFECT IN THE NOTE: the note no longer asserts a derivation that fails to close. It reports the two observations and the adopted point estimate as CMS states them and says explicitly that CMS does not publish the weighting between them. Worksheet R1012 carries the same three elements and no weighting, which corroborates the non-publication rather than the arithmetic. D-3 is closed as a drafting matter; the underlying gap in CMS's disclosure remains and is now stated as such</t>
        </is>
      </c>
      <c r="N71" s="12" t="inlineStr">
        <is>
          <t>SUPERSEDED — wording and range derivation restated; replaced by CE-48 and CE-49</t>
        </is>
      </c>
    </row>
    <row r="72" ht="21.75" customHeight="1" s="10">
      <c r="A72" s="12" t="inlineStr">
        <is>
          <t>2. CMS estimates</t>
        </is>
      </c>
      <c r="B72" s="13" t="inlineStr">
        <is>
          <t>CE-21</t>
        </is>
      </c>
      <c r="C72" s="12" t="inlineStr">
        <is>
          <t>CMS assigns $35.0B of the tax reduction to private payers rather than providers</t>
        </is>
      </c>
      <c r="D72" s="12" t="inlineStr">
        <is>
          <t>CMS estimate</t>
        </is>
      </c>
      <c r="E72" s="12" t="inlineStr">
        <is>
          <t>CMS-2452-P Table 8</t>
        </is>
      </c>
      <c r="F72" s="12" t="inlineStr">
        <is>
          <t>Table 8, 91 FR 46590; R0570</t>
        </is>
      </c>
      <c r="G72" s="12" t="inlineStr">
        <is>
          <t>Table 8</t>
        </is>
      </c>
      <c r="H72" s="12" t="inlineStr">
        <is>
          <t>Portion of tax relief assumed to pass through to commercial prices</t>
        </is>
      </c>
      <c r="I72" s="12" t="inlineStr">
        <is>
          <t>private payers</t>
        </is>
      </c>
      <c r="J72" s="12" t="inlineStr">
        <is>
          <t>FY2026–2035</t>
        </is>
      </c>
      <c r="K72" s="12" t="inlineStr">
        <is>
          <t>real 2026 dollars</t>
        </is>
      </c>
      <c r="L72" s="12" t="inlineStr">
        <is>
          <t>primary</t>
        </is>
      </c>
      <c r="M72" s="12" t="inlineStr">
        <is>
          <t>ASPE's price-side finding is the qualitative counterpart (TP-13, V1); no numerical reconciliation between them is possible</t>
        </is>
      </c>
      <c r="N72" s="12" t="inlineStr">
        <is>
          <t>verified</t>
        </is>
      </c>
    </row>
    <row r="73" ht="116.25" customHeight="1" s="10">
      <c r="A73" s="12" t="inlineStr">
        <is>
          <t>2. CMS estimates</t>
        </is>
      </c>
      <c r="B73" s="13" t="inlineStr">
        <is>
          <t>CE-22</t>
        </is>
      </c>
      <c r="C73" s="12" t="inlineStr">
        <is>
          <t>The $35.0B private payer line is a different quantity from the $28.1B of 2026 MCO provider tax revenue</t>
        </is>
      </c>
      <c r="D73" s="12" t="inlineStr">
        <is>
          <t>derived arithmetic</t>
        </is>
      </c>
      <c r="E73" s="12" t="inlineStr">
        <is>
          <t>CMS-2452-P Tables 4 and 8</t>
        </is>
      </c>
      <c r="F73" s="12" t="inlineStr">
        <is>
          <t>91 FR 46589–46590; R1004, R0570</t>
        </is>
      </c>
      <c r="G73" s="12" t="inlineStr">
        <is>
          <t>Tables 4, 8</t>
        </is>
      </c>
      <c r="H73" s="12" t="inlineStr">
        <is>
          <t>Two unrelated quantities that invite confusion</t>
        </is>
      </c>
      <c r="I73" s="12" t="inlineStr">
        <is>
          <t>private payers vs MCO tax class</t>
        </is>
      </c>
      <c r="J73" s="12" t="inlineStr">
        <is>
          <t>ten years vs CY2026</t>
        </is>
      </c>
      <c r="K73" s="12" t="inlineStr">
        <is>
          <t>real 2026 vs unstated</t>
        </is>
      </c>
      <c r="L73" s="12" t="inlineStr">
        <is>
          <t>primary</t>
        </is>
      </c>
      <c r="M73" s="12" t="inlineStr">
        <is>
          <t>SUPERSEDED October 11, 2026. v17 does not compare the $35.0B private payer line with the $28.1B of 2026 MCO provider tax revenue; the $28.1B appears only as a class figure in App. B (RM-15) and the $35.0B as CMS's private payer allocation (CE-21). The finding remains true and is kept as ledger evidence. Removed or reversed by: the revisions between the v9 sync and v17 (the supplied decision log and change map do not identify which revision dropped the comparison). Replaced by: none (removed, not reversed). Original cross-check, retained for the record: Internal: different horizon, different denominator, different party</t>
        </is>
      </c>
      <c r="N73" s="12" t="inlineStr">
        <is>
          <t>SUPERSEDED — no longer a note claim; no replacement row</t>
        </is>
      </c>
    </row>
    <row r="74" ht="32.25" customHeight="1" s="10">
      <c r="A74" s="12" t="inlineStr">
        <is>
          <t>2. CMS estimates</t>
        </is>
      </c>
      <c r="B74" s="13" t="inlineStr">
        <is>
          <t>CE-23</t>
        </is>
      </c>
      <c r="C74" s="12" t="inlineStr">
        <is>
          <t>Table 13 prints −$246.7B as its ten-year state total while its own annual cells sum to −$264.7B and match CMS-2449-P's Table 20 cell for cell</t>
        </is>
      </c>
      <c r="D74" s="12" t="inlineStr">
        <is>
          <t>CMS estimate (internal discrepancy)</t>
        </is>
      </c>
      <c r="E74" s="12" t="inlineStr">
        <is>
          <t>CMS-2452-P Table 13</t>
        </is>
      </c>
      <c r="F74" s="12" t="inlineStr">
        <is>
          <t>Table 13, 91 FR 46593; R0735</t>
        </is>
      </c>
      <c r="G74" s="12" t="inlineStr">
        <is>
          <t>Table 13</t>
        </is>
      </c>
      <c r="H74" s="12" t="inlineStr">
        <is>
          <t>An inconsistency between a printed total and its own cells</t>
        </is>
      </c>
      <c r="I74" s="12" t="inlineStr">
        <is>
          <t>state only</t>
        </is>
      </c>
      <c r="J74" s="12" t="inlineStr">
        <is>
          <t>FY2026–2035</t>
        </is>
      </c>
      <c r="K74" s="12" t="inlineStr">
        <is>
          <t>real 2026 dollars</t>
        </is>
      </c>
      <c r="L74" s="12" t="inlineStr">
        <is>
          <t>primary</t>
        </is>
      </c>
      <c r="M74" s="12" t="inlineStr">
        <is>
          <t>Internal: consistent with CE-03. The note's Limitations records all thirty annual cells checked and matching</t>
        </is>
      </c>
      <c r="N74" s="12" t="inlineStr">
        <is>
          <t>verified — CMS printing error</t>
        </is>
      </c>
    </row>
    <row r="75" ht="21.75" customHeight="1" s="10">
      <c r="A75" s="12" t="inlineStr">
        <is>
          <t>2. CMS estimates</t>
        </is>
      </c>
      <c r="B75" s="13" t="inlineStr">
        <is>
          <t>CE-24</t>
        </is>
      </c>
      <c r="C75" s="12" t="inlineStr">
        <is>
          <t>$264.4B is also the figure CMS gives for the state impact of Alternative Scenario 2, seven pages later</t>
        </is>
      </c>
      <c r="D75" s="12" t="inlineStr">
        <is>
          <t>CMS estimate</t>
        </is>
      </c>
      <c r="E75" s="12" t="inlineStr">
        <is>
          <t>CMS-2449-P</t>
        </is>
      </c>
      <c r="F75" s="12" t="inlineStr">
        <is>
          <t>91 FR 30459; R0999</t>
        </is>
      </c>
      <c r="G75" s="12" t="inlineStr">
        <is>
          <t>Narrative</t>
        </is>
      </c>
      <c r="H75" s="12" t="inlineStr">
        <is>
          <t>The same numeral carrying two meanings within one rule</t>
        </is>
      </c>
      <c r="I75" s="12" t="inlineStr">
        <is>
          <t>state only</t>
        </is>
      </c>
      <c r="J75" s="12" t="inlineStr">
        <is>
          <t>FY2026–2035</t>
        </is>
      </c>
      <c r="K75" s="12" t="inlineStr">
        <is>
          <t>real 2026 dollars</t>
        </is>
      </c>
      <c r="L75" s="12" t="inlineStr">
        <is>
          <t>alternative 2</t>
        </is>
      </c>
      <c r="M75" s="12" t="inlineStr">
        <is>
          <t>Internal: identical to the primary-scenario narrative state figure at 91 FR 30452</t>
        </is>
      </c>
      <c r="N75" s="12" t="inlineStr">
        <is>
          <t>verified</t>
        </is>
      </c>
    </row>
    <row r="76" ht="74.25" customHeight="1" s="10">
      <c r="A76" s="12" t="inlineStr">
        <is>
          <t>2. CMS estimates</t>
        </is>
      </c>
      <c r="B76" s="13" t="inlineStr">
        <is>
          <t>CE-25</t>
        </is>
      </c>
      <c r="C76" s="12" t="inlineStr">
        <is>
          <t>CMS's SDP rule text gives the central state reduction as $264.4B while Table 20's annual figures sum to $264.7B (91 FR 30452), and gives the high-savings state reduction as $339.6B while Table 23's cells sum to $340.0B; where text and tables differ, the note uses the table sums</t>
        </is>
      </c>
      <c r="D76" s="12" t="inlineStr">
        <is>
          <t>derived arithmetic [E]/[I]</t>
        </is>
      </c>
      <c r="E76" s="12" t="inlineStr">
        <is>
          <t>CMS-2449-P</t>
        </is>
      </c>
      <c r="F76" s="12" t="inlineStr">
        <is>
          <t>91 FR 30452, 30454; note App. E ('Draft note, text against tables'); App. D</t>
        </is>
      </c>
      <c r="G76" s="12" t="inlineStr">
        <is>
          <t>Note App. E</t>
        </is>
      </c>
      <c r="H76" s="12" t="inlineStr">
        <is>
          <t>Narrative-to-table differences in the SDP rule's state figures</t>
        </is>
      </c>
      <c r="I76" s="12" t="inlineStr">
        <is>
          <t>state only</t>
        </is>
      </c>
      <c r="J76" s="12" t="inlineStr">
        <is>
          <t>FY2026–2035</t>
        </is>
      </c>
      <c r="K76" s="12" t="inlineStr">
        <is>
          <t>real 2026 dollars</t>
        </is>
      </c>
      <c r="L76" s="12" t="inlineStr">
        <is>
          <t>high / alternative 1</t>
        </is>
      </c>
      <c r="M76" s="12" t="inlineStr">
        <is>
          <t>Internal: 989.7 − 649.7 = 340.0 and 757.1 − 498.1 = 259.0, both exact UPDATED October 11, 2026: v17 states the central and high-savings instances only. The Alternative 1 instance ($258.7B against $259.0B) and the 'systematic 0.3–0.4 gap' label are not stated in v17. Previous wording: 'The narrative/table gap recurs: high scenario $339.6B against a $340.0B column sum; Alternative 1 $258.7B against $259.0B'</t>
        </is>
      </c>
      <c r="N76" s="12" t="inlineStr">
        <is>
          <t>verified</t>
        </is>
      </c>
    </row>
    <row r="77" ht="126.75" customHeight="1" s="10">
      <c r="A77" s="12" t="inlineStr">
        <is>
          <t>2. CMS estimates</t>
        </is>
      </c>
      <c r="B77" s="13" t="inlineStr">
        <is>
          <t>CE-26</t>
        </is>
      </c>
      <c r="C77" s="12" t="inlineStr">
        <is>
          <t>For inpatient care, commercial insurers pay 1.89 times Medicare in CMS's central estimate, 1.37 times in the low-savings estimate and 2.55 times in the high-savings estimate</t>
        </is>
      </c>
      <c r="D77" s="12" t="inlineStr">
        <is>
          <t>CMS estimate (assumption) [E]</t>
        </is>
      </c>
      <c r="E77" s="12" t="inlineStr">
        <is>
          <t>CMS-2449-P Tables 14–16</t>
        </is>
      </c>
      <c r="F77" s="12" t="inlineStr">
        <is>
          <t>Tables 14–16, 91 FR 30449–30450; note App. D ('Draft note, SDP rule parameters')</t>
        </is>
      </c>
      <c r="G77" s="12" t="inlineStr">
        <is>
          <t>Note App. D</t>
        </is>
      </c>
      <c r="H77" s="12" t="inlineStr">
        <is>
          <t>Inpatient commercial-to-Medicare price ratios by estimate</t>
        </is>
      </c>
      <c r="I77" s="12" t="inlineStr">
        <is>
          <t>n/a</t>
        </is>
      </c>
      <c r="J77" s="12" t="inlineStr">
        <is>
          <t>n/a</t>
        </is>
      </c>
      <c r="K77" s="12" t="inlineStr">
        <is>
          <t>ratio, not dollars</t>
        </is>
      </c>
      <c r="L77" s="12" t="inlineStr">
        <is>
          <t>low / primary / high</t>
        </is>
      </c>
      <c r="M77" s="12" t="inlineStr">
        <is>
          <t>Internal: consistent with the 2.42x spread between CE-04's low and high totals UPDATED September 27, 2026: the note now states (sec. 6, gap 3; sec. 7, item 1) that CMS varies commercial-to-Medicare and Medicaid-to-Medicare ratios together, so the scenario spread cannot be attributed to the commercial ratios alone (CE-54). The 2.42x consistency above is not an attribution UPDATED October 11, 2026: v17 gives the inpatient ratios only; the outpatient ratios (1.55 / 2.63 / 3.58) are no longer a note claim and remain true to the tables as recorded. Previous wording: 'Commercial-to-Medicare price ratios: inpatient 1.37 / 1.89 / 2.55, outpatient 1.55 / 2.63 / 3.58'</t>
        </is>
      </c>
      <c r="N77" s="12" t="inlineStr">
        <is>
          <t>verified</t>
        </is>
      </c>
    </row>
    <row r="78" ht="116.25" customHeight="1" s="10">
      <c r="A78" s="12" t="inlineStr">
        <is>
          <t>2. CMS estimates</t>
        </is>
      </c>
      <c r="B78" s="13" t="inlineStr">
        <is>
          <t>CE-27</t>
        </is>
      </c>
      <c r="C78" s="12" t="inlineStr">
        <is>
          <t>The rounding noise floor across the two RIAs is about 0.3</t>
        </is>
      </c>
      <c r="D78" s="12" t="inlineStr">
        <is>
          <t>derived arithmetic</t>
        </is>
      </c>
      <c r="E78" s="12" t="inlineStr">
        <is>
          <t>Both RIAs</t>
        </is>
      </c>
      <c r="F78" s="12" t="inlineStr">
        <is>
          <t>Note sec. 2.2</t>
        </is>
      </c>
      <c r="G78" s="12" t="inlineStr">
        <is>
          <t>Narrative</t>
        </is>
      </c>
      <c r="H78" s="12" t="inlineStr">
        <is>
          <t>Tolerance for sum-of-rounded-cells artifacts</t>
        </is>
      </c>
      <c r="I78" s="12" t="inlineStr">
        <is>
          <t>n/a</t>
        </is>
      </c>
      <c r="J78" s="12" t="inlineStr">
        <is>
          <t>n/a</t>
        </is>
      </c>
      <c r="K78" s="12" t="inlineStr">
        <is>
          <t>real 2026 dollars</t>
        </is>
      </c>
      <c r="L78" s="12" t="inlineStr">
        <is>
          <t>not scenario-dependent</t>
        </is>
      </c>
      <c r="M78" s="12" t="inlineStr">
        <is>
          <t>SUPERSEDED September 27, 2026. The note now states the noise floor as '0.3 to 0.4' across the two documents (sec. 2.2), which resolves this row's caveat that the documented gaps exceed 'about 0.3'. The row also treated footnote 3's 0.4 as a rounding gap; footnote 3's two figures measure different things and are not a rounding artifact. Removed or reversed by: the revisions since the September 22, 2026 sync (four revisions, ending at v9); the supplied materials do not identify which of the four. Replaced by: CE-53. Original cross-check, retained for the record: Internal: the largest gap the note itself documents is 0.4 (footnote 3, and the high-scenario gap at CE-25), which slightly exceeds the stated floor</t>
        </is>
      </c>
      <c r="N78" s="12" t="inlineStr">
        <is>
          <t>SUPERSEDED — noise floor restated as 0.3 to 0.4; replaced by CE-53</t>
        </is>
      </c>
    </row>
    <row r="79" ht="137.25" customHeight="1" s="10">
      <c r="A79" s="12" t="inlineStr">
        <is>
          <t>2. CMS estimates</t>
        </is>
      </c>
      <c r="B79" s="13" t="inlineStr">
        <is>
          <t>CE-28</t>
        </is>
      </c>
      <c r="C79" s="12" t="inlineStr">
        <is>
          <t>Table 9's $182.7B ten-year total equals CBO's $182.7B net deficit estimate for Sec. 71115 but measures something different</t>
        </is>
      </c>
      <c r="D79" s="12" t="inlineStr">
        <is>
          <t>derived arithmetic / contextual</t>
        </is>
      </c>
      <c r="E79" s="12" t="inlineStr">
        <is>
          <t>CMS-2452-P Table 9; CBO</t>
        </is>
      </c>
      <c r="F79" s="12" t="inlineStr">
        <is>
          <t>Table 9, 91 FR 46591; R0603; CBO supplemental cost estimate, October 28, 2025</t>
        </is>
      </c>
      <c r="G79" s="12" t="inlineStr">
        <is>
          <t>Note footnote 2</t>
        </is>
      </c>
      <c r="H79" s="12" t="inlineStr">
        <is>
          <t>Coincidence of numerals across incompatible measures</t>
        </is>
      </c>
      <c r="I79" s="12" t="inlineStr">
        <is>
          <t>total computable vs federal only</t>
        </is>
      </c>
      <c r="J79" s="12" t="inlineStr">
        <is>
          <t>differing</t>
        </is>
      </c>
      <c r="K79" s="12" t="inlineStr">
        <is>
          <t>differing</t>
        </is>
      </c>
      <c r="L79" s="12" t="inlineStr">
        <is>
          <t>primary vs statutory score</t>
        </is>
      </c>
      <c r="M79" s="12" t="inlineStr">
        <is>
          <t>Internal: identical to the tenth of a billion. Table 9 measures projected effective Medicaid payments for provider taxes absent the legislation. CBO's $182.7B is its net deficit estimate for Sec. 71115: outlays of $191.1B less an $8.4B revenue reduction (SB-09, SB-14, SB-15, SB-17). Footnote 2 was reworded on Sept 22, 2026 from 'score' to 'net deficit estimate' to match note sec. 1 UPDATED October 11, 2026: v17 does not state the Table 9 coincidence. App. F states CBO's deficit-measure figure ($182.7B for Section 71115, outlays less an $8.4B revenue loss; SB-09), and the App. E heading names 'v13 footnotes 1–3', which include this one. Retained because the outline commits to it; no drafted note states it yet.</t>
        </is>
      </c>
      <c r="N79" s="12" t="inlineStr">
        <is>
          <t>verified</t>
        </is>
      </c>
    </row>
    <row r="80" ht="42.75" customHeight="1" s="10">
      <c r="A80" s="12" t="inlineStr">
        <is>
          <t>2. CMS estimates</t>
        </is>
      </c>
      <c r="B80" s="13" t="inlineStr">
        <is>
          <t>CE-29</t>
        </is>
      </c>
      <c r="C80" s="12" t="inlineStr">
        <is>
          <t>Table 16 prints $191.8B (high, including interaction) and Table 17 prints $191.4B (low, excluding interaction) on the same page</t>
        </is>
      </c>
      <c r="D80" s="12" t="inlineStr">
        <is>
          <t>contextual</t>
        </is>
      </c>
      <c r="E80" s="12" t="inlineStr">
        <is>
          <t>CMS-2452-P Tables 16, 17</t>
        </is>
      </c>
      <c r="F80" s="12" t="inlineStr">
        <is>
          <t>Both at 91 FR 46594</t>
        </is>
      </c>
      <c r="G80" s="12" t="inlineStr">
        <is>
          <t>Note footnote 3</t>
        </is>
      </c>
      <c r="H80" s="12" t="inlineStr">
        <is>
          <t>Two near-identical numerals on opposite scenarios and opposite sides of the overlap</t>
        </is>
      </c>
      <c r="I80" s="12" t="inlineStr">
        <is>
          <t>federal only</t>
        </is>
      </c>
      <c r="J80" s="12" t="inlineStr">
        <is>
          <t>FY2026–2035</t>
        </is>
      </c>
      <c r="K80" s="12" t="inlineStr">
        <is>
          <t>real 2026 dollars</t>
        </is>
      </c>
      <c r="L80" s="12" t="inlineStr">
        <is>
          <t>high including / low excluding</t>
        </is>
      </c>
      <c r="M80" s="12" t="inlineStr">
        <is>
          <t>Internal: 0.4 apart UPDATED October 11, 2026: v17 drafts no note on the $191.8B and $191.4B coincidence; the App. E heading names 'v13 footnotes 1–3'. Retained because the outline commits to it.</t>
        </is>
      </c>
      <c r="N80" s="12" t="inlineStr">
        <is>
          <t>verified</t>
        </is>
      </c>
    </row>
    <row r="81" ht="157.5" customHeight="1" s="10">
      <c r="A81" s="12" t="inlineStr">
        <is>
          <t>2. CMS estimates</t>
        </is>
      </c>
      <c r="B81" s="13" t="inlineStr">
        <is>
          <t>CE-30</t>
        </is>
      </c>
      <c r="C81" s="12" t="inlineStr">
        <is>
          <t>The five circulating quantities measure five different things; quantities from different rows of the orientation exhibit are not additive, and the same row's standalone and post-overlap versions are not additive either</t>
        </is>
      </c>
      <c r="D81" s="12" t="inlineStr">
        <is>
          <t>derived arithmetic</t>
        </is>
      </c>
      <c r="E81" s="12" t="inlineStr">
        <is>
          <t>Both RIAs, as assembled by [FIRM]</t>
        </is>
      </c>
      <c r="F81" s="12" t="inlineStr">
        <is>
          <t>Orientation exhibit; 91 FR 30452, 46590-46593; R0177, R1008, R0647, R0658, R0669, R0548, R0559, R0570, R0702, R0779</t>
        </is>
      </c>
      <c r="G81" s="12" t="inlineStr">
        <is>
          <t>Note orientation exhibit, rows 1-5</t>
        </is>
      </c>
      <c r="H81" s="12" t="inlineStr">
        <is>
          <t>Definitional separation of federal outlays, state outlays, gross provider payments, tax revenue and net provider position</t>
        </is>
      </c>
      <c r="I81" s="12" t="inlineStr">
        <is>
          <t>mixed by row: federal only, state only, provider aggregate, private payers</t>
        </is>
      </c>
      <c r="J81" s="12" t="inlineStr">
        <is>
          <t>FY2026-2035 for every row</t>
        </is>
      </c>
      <c r="K81" s="12" t="inlineStr">
        <is>
          <t>real 2026 dollars</t>
        </is>
      </c>
      <c r="L81" s="12" t="inlineStr">
        <is>
          <t>primary, with the standalone and post-overlap versions of row 5 shown separately</t>
        </is>
      </c>
      <c r="M81" s="12" t="inlineStr">
        <is>
          <t>SUPERSEDED September 27, 2026. The row says quantities from different rows of the orientation exhibit 'are not additive'. The note now says the opposite for rows 1 to 3: 'Rows 1 and 2 sum to row 3: each rule's government savings are the provider payments it removes' (510.1 + 264.7 = 774.8; 245.8 + 138.2 = 384.0). Row 3 now also carries the combined −$916.9B, which is [FIRM]'s sum. What the note still prohibits is mixing standalone and overlap-adjusted figures. Removed or reversed by: the revisions since the September 22, 2026 sync (four revisions, ending at v9); the supplied materials do not identify which of the four. Replaced by: CE-50. Original cross-check, retained for the record: Internal: each of the five rows is independently ledgered (CE-02, CE-03, CE-07, CE-08, CE-09, CE-10, CE-11, CE-16), and no two of them share a measure definition. Row 5's two versions differ by the $241.9B overlap at CE-14, which is why they cannot be summed</t>
        </is>
      </c>
      <c r="N81" s="12" t="inlineStr">
        <is>
          <t>SUPERSEDED — exhibit rows 1 and 2 now sum to row 3; replaced by CE-50</t>
        </is>
      </c>
    </row>
    <row r="82" ht="105.75" customHeight="1" s="10">
      <c r="A82" s="12" t="inlineStr">
        <is>
          <t>2. CMS estimates</t>
        </is>
      </c>
      <c r="B82" s="13" t="inlineStr">
        <is>
          <t>CE-31</t>
        </is>
      </c>
      <c r="C82" s="12" t="inlineStr">
        <is>
          <t>CMS states a range for the tax-financing parameter: 'Based on data collected from SDP preprints, we estimate that between 55 and 75 percent of SDP spending is financed with provider taxes'</t>
        </is>
      </c>
      <c r="D82" s="12" t="inlineStr">
        <is>
          <t>CMS estimate (assumption) [E]</t>
        </is>
      </c>
      <c r="E82" s="12" t="inlineStr">
        <is>
          <t>CMS-2452-P narrative</t>
        </is>
      </c>
      <c r="F82" s="12" t="inlineStr">
        <is>
          <t>91 FR 46592. NO WORKSHEET ROW - the passage's only worksheet row, R1012, transcribes the 65 percent point estimate and the bracketed 38/37 percent preprint observations, not the range sentence. Cited to the Federal Register page directly</t>
        </is>
      </c>
      <c r="G82" s="12" t="inlineStr">
        <is>
          <t>Direct quotation, one sentence before the point estimate CMS adopts</t>
        </is>
      </c>
      <c r="H82" s="12" t="inlineStr">
        <is>
          <t>Stated range for the share of SDP spending financed with provider taxes</t>
        </is>
      </c>
      <c r="I82" s="12" t="inlineStr">
        <is>
          <t>total computable, SDP spending</t>
        </is>
      </c>
      <c r="J82" s="12" t="inlineStr">
        <is>
          <t>n/a - a parameter, not a horizon-bound estimate</t>
        </is>
      </c>
      <c r="K82" s="12" t="inlineStr">
        <is>
          <t>n/a - a share</t>
        </is>
      </c>
      <c r="L82" s="12" t="inlineStr">
        <is>
          <t>stated as a range; CMS moves the parameter to each endpoint by scenario (CE-32)</t>
        </is>
      </c>
      <c r="M82" s="12" t="inlineStr">
        <is>
          <t>Worksheet searched in full for 'between 55', '55 and 75' and 'preprint': the only hit is R0977's unrelated preprint reference at 91 FR 30447. The range sentence is therefore outside the worksheet's transcription, which covers quantitative estimates rather than stated assumption ranges. The 55 and 75 endpoints are corroborated by their reappearance as the high and low scenario parameters at CE-32 UPDATED October 11, 2026: v17 sec. 2 states the range as 'CMS's 55 to 75 percent estimate (its high-savings and low-savings values) for the tax-financed share of SDP spending (91 FR 46592)'.</t>
        </is>
      </c>
      <c r="N82" s="12" t="inlineStr">
        <is>
          <t>verified - quoted from the Federal Register page; no worksheet row exists</t>
        </is>
      </c>
    </row>
    <row r="83" ht="252" customHeight="1" s="10">
      <c r="A83" s="12" t="inlineStr">
        <is>
          <t>2. CMS estimates</t>
        </is>
      </c>
      <c r="B83" s="13" t="inlineStr">
        <is>
          <t>CE-32</t>
        </is>
      </c>
      <c r="C83" s="12" t="inlineStr">
        <is>
          <t>CMS's three parameter sets for the provider tax rule's estimates. Central estimate: 65 percent of SDPs tax-financed, at most 80 percent of the reductions applied to SDPs, and a 30 percent state offset of the cut with other revenue. Low-savings estimate: 75 percent, up to 90 percent and a 40 percent offset. High-savings estimate: 55 percent, up to 70 percent and a 20 percent offset. Each estimate also changes the share of provider taxes Medicaid pays</t>
        </is>
      </c>
      <c r="D83" s="12" t="inlineStr">
        <is>
          <t>CMS estimate (assumption) [E]</t>
        </is>
      </c>
      <c r="E83" s="12" t="inlineStr">
        <is>
          <t>CMS-2452-P narrative</t>
        </is>
      </c>
      <c r="F83" s="12" t="inlineStr">
        <is>
          <t>Central: offset 91 FR 46591; 65 percent and at most 80 percent 91 FR 46592 (R1012 carries the 65 percent). Low-savings: 91 FR 46594. High-savings: 91 FR 46593. Note sec. 2, sec. 3, App. D ('Draft note, provider tax rule parameters'). Only the 65 percent central parameter carries a worksheet row; the other parameters are cited to the Federal Register pages directly</t>
        </is>
      </c>
      <c r="G83" s="12" t="inlineStr">
        <is>
          <t>Note sec. 2 (65 and 80 percent); sec. 3 (30 percent); App. D</t>
        </is>
      </c>
      <c r="H83" s="12" t="inlineStr">
        <is>
          <t>Three parameters that jointly determine the size of the overlap and the net: tax-financed share of SDPs, share of the reductions applied to SDPs, and state offset rate</t>
        </is>
      </c>
      <c r="I83" s="12" t="inlineStr">
        <is>
          <t>total computable</t>
        </is>
      </c>
      <c r="J83" s="12" t="inlineStr">
        <is>
          <t>n/a - parameters</t>
        </is>
      </c>
      <c r="K83" s="12" t="inlineStr">
        <is>
          <t>n/a - shares</t>
        </is>
      </c>
      <c r="L83" s="12" t="inlineStr">
        <is>
          <t>central / low-savings / high-savings, one parameter set per estimate</t>
        </is>
      </c>
      <c r="M83" s="12" t="inlineStr">
        <is>
          <t>CORRECTED October 11, 2026. The earlier row gave the central (primary) estimate one parameter, the 65 percent, and the earlier cross-check said the primary set was 'specified on one parameter where the other two are specified on three'. The Federal Register gives the central estimate three: a 30 percent state offset (91 FR 46591), 65 percent tax-financed and at most 80 percent of the cuts applied to SDPs (91 FR 46592); the 80 percent example applies to what a state 'would reduce', the post-offset amount (verification summary, F-007 'Confirmed' and 'Ledger CE-32 is contradicted'; Round 2 passage read). High-savings offset 20 percent (91 FR 46593); low-savings 40 percent (91 FR 46594). Internal: the 75 and 55 percent endpoints are exactly the endpoints of the range CMS states at CE-31. THA mislabels 20 percent as the 'low scenario'; at 91 FR 46593 it is the high-savings estimate. 'Each estimate also changes the share of provider taxes Medicaid pays' is a v17 App. D addition with no verification row UPDATED October 11, 2026: claim reworded to the note's current text (v17). Previous wording: 'CMS's three scenario parameter sets: low assumes 75 percent of SDPs tax-financed, up to 90 percent of provider payment reductions made to SDPs and a 40 percent state offset; primary assumes 65 percent; high assumes 55 percent tax-financed, up to 70 percent of reductions reaching SDPs and a 20 percent state offset'</t>
        </is>
      </c>
      <c r="N83" s="12" t="inlineStr">
        <is>
          <t>verified with caveat — the central 30 and 80 percent and the 65 percent are confirmed against the Federal Register text (F-007, Round 2); the 90 and 70 percent parameters and the Medicaid-share clause have no worksheet or verification row</t>
        </is>
      </c>
    </row>
    <row r="84" ht="168" customHeight="1" s="10">
      <c r="A84" s="12" t="inlineStr">
        <is>
          <t>2. CMS estimates</t>
        </is>
      </c>
      <c r="B84" s="13" t="inlineStr">
        <is>
          <t>CE-33</t>
        </is>
      </c>
      <c r="C84" s="12" t="inlineStr">
        <is>
          <t>The scenario overlaps of approximately $285 billion (low) and approximately $180 billion (high) are residuals derived by [FIRM]; CMS does not state the overlap for its low or high scenarios and publishes no such figure</t>
        </is>
      </c>
      <c r="D84" s="12" t="inlineStr">
        <is>
          <t>derived arithmetic - [FIRM] construction, not a CMS figure</t>
        </is>
      </c>
      <c r="E84" s="12" t="inlineStr">
        <is>
          <t>CMS-2452-P Tables 15, 16, 17, 18, as transcribed in the worksheet</t>
        </is>
      </c>
      <c r="F84" s="12" t="inlineStr">
        <is>
          <t>Low, from Tables 17 and 18 at 91 FR 46594: R0889, R0900, R0933, R0944. High, from Tables 15 and 16 at 91 FR 46593-46594: R0801, R0812, R0845, R0856. Eight worksheet rows in total</t>
        </is>
      </c>
      <c r="G84" s="12" t="inlineStr">
        <is>
          <t>No quote - a residual differenced from the eight rows named</t>
        </is>
      </c>
      <c r="H84" s="12" t="inlineStr">
        <is>
          <t>The difference between the excluding-interaction and including-interaction federal and state positions in each scenario, summed</t>
        </is>
      </c>
      <c r="I84" s="12" t="inlineStr">
        <is>
          <t>total computable, federal plus state</t>
        </is>
      </c>
      <c r="J84" s="12" t="inlineStr">
        <is>
          <t>FY2026-2035</t>
        </is>
      </c>
      <c r="K84" s="12" t="inlineStr">
        <is>
          <t>real 2026 dollars</t>
        </is>
      </c>
      <c r="L84" s="12" t="inlineStr">
        <is>
          <t>low and high; the primary-scenario counterpart is CMS's own printed $241.9B at CE-14</t>
        </is>
      </c>
      <c r="M84" s="12" t="inlineStr">
        <is>
          <t>Internal, recomputed from the eight rows: low = (191.4 - 9.1) + (-91.4 + 193.6) = 182.3 + 102.2 = 284.5, stated as approximately $285B. High = (307.3 - 191.8) + (-25.7 + 90.7) = 115.5 + 65.0 = 180.5, stated as approximately $180B. Method validation: the identical differencing on the primary-scenario rows reproduces CMS's printed $241.9B exactly, with its $154.9B federal and $87.0B state split (R0680, R0691, R0757, R0768). Second check on the provider line alone: 149.6 - (-135.0) = 284.6 low and -136.1 - (-316.5) = 180.4 high, both agreeing within the 0.3 to 0.4 noise floor at CE-53 (formerly CE-27) UPDATED October 11, 2026: v17 names these overlaps only in the App. D heading ('the derived low-savings and high-savings overlaps (about $285 billion and $180 billion)'); no drafted note states them yet. Retained because the outline commits to it. v17 calls the scenarios 'low-savings' and 'high-savings' estimates.</t>
        </is>
      </c>
      <c r="N84" s="12" t="inlineStr">
        <is>
          <t>verified as derived - the note must not be read as attributing these two figures to CMS</t>
        </is>
      </c>
    </row>
    <row r="85" ht="147.75" customHeight="1" s="10">
      <c r="A85" s="12" t="inlineStr">
        <is>
          <t>2. CMS estimates</t>
        </is>
      </c>
      <c r="B85" s="13" t="inlineStr">
        <is>
          <t>CE-34</t>
        </is>
      </c>
      <c r="C85" s="12" t="inlineStr">
        <is>
          <t>Other things equal, a higher tax-financed share means more overlap and a lower share less, but CMS's other estimates move these assumptions together with the share of the cut states offset, so CMS's figures do not isolate the effect of any one assumption</t>
        </is>
      </c>
      <c r="D85" s="12" t="inlineStr">
        <is>
          <t>derived arithmetic - interpretive [I]/[E]</t>
        </is>
      </c>
      <c r="E85" s="12" t="inlineStr">
        <is>
          <t>CMS-2452-P scenario narratives and Tables 15-18</t>
        </is>
      </c>
      <c r="F85" s="12" t="inlineStr">
        <is>
          <t>Note sec. 2 (91 FR 46593–46594); CE-32 for the parameters, CE-33 for the derived overlaps</t>
        </is>
      </c>
      <c r="G85" s="12" t="inlineStr">
        <is>
          <t>Note sec. 2</t>
        </is>
      </c>
      <c r="H85" s="12" t="inlineStr">
        <is>
          <t>Direction, not magnitude, of the relationship between the tax-financing parameter and the overlap</t>
        </is>
      </c>
      <c r="I85" s="12" t="inlineStr">
        <is>
          <t>total computable</t>
        </is>
      </c>
      <c r="J85" s="12" t="inlineStr">
        <is>
          <t>FY2026-2035</t>
        </is>
      </c>
      <c r="K85" s="12" t="inlineStr">
        <is>
          <t>real 2026 dollars</t>
        </is>
      </c>
      <c r="L85" s="12" t="inlineStr">
        <is>
          <t>low and high compared</t>
        </is>
      </c>
      <c r="M85" s="12" t="inlineStr">
        <is>
          <t>Internal: the ordering holds - 75 percent tax-financed goes with the approximately $285B low-scenario overlap and 55 percent with the approximately $180B high-scenario overlap. Because three parameters move as a set between scenarios, the observed ordering cannot be attributed to the tax-financed share alone, and the note says so UPDATED October 11, 2026: v17 states the relationship as a general 'other things equal' direction and does not say the low scenario carries the largest overlap. Previous wording: 'A larger assumed tax-financed share carries a larger derived overlap, so the low scenario carries the largest overlap; this is not a claim that the overlap moves proportionally with that parameter, because CMS varies the SDP flow-through share and the state offset rate together with it'</t>
        </is>
      </c>
      <c r="N85" s="12" t="inlineStr">
        <is>
          <t>verified with caveat - direction only; the note explicitly disclaims a proportional reading</t>
        </is>
      </c>
    </row>
    <row r="86" ht="220.5" customHeight="1" s="10">
      <c r="A86" s="12" t="inlineStr">
        <is>
          <t>2. CMS estimates</t>
        </is>
      </c>
      <c r="B86" s="13" t="inlineStr">
        <is>
          <t>CE-35</t>
        </is>
      </c>
      <c r="C86" s="12" t="inlineStr">
        <is>
          <t>Every annual cell of CMS-2449-P's three load-bearing tables was independently checked against CMS-2452-P's Table 13, which restates them in machine-readable text; all thirty cells match</t>
        </is>
      </c>
      <c r="D86" s="12" t="inlineStr">
        <is>
          <t>derived arithmetic — transcription check</t>
        </is>
      </c>
      <c r="E86" s="12" t="inlineStr">
        <is>
          <t>Both RIAs, via the reconciliation worksheet</t>
        </is>
      </c>
      <c r="F86" s="12" t="inlineStr">
        <is>
          <t>CMS-2449-P Tables 18, 19, 20 at 91 FR 30451–30452; CMS-2452-P Table 13 at 91 FR 46592; worksheet Reconciliation annual cells</t>
        </is>
      </c>
      <c r="G86" s="12" t="inlineStr">
        <is>
          <t>Note Limitations</t>
        </is>
      </c>
      <c r="H86" s="12" t="inlineStr">
        <is>
          <t>Validation of a visually transcribed bitmap table against a machine-readable restatement of the same figures</t>
        </is>
      </c>
      <c r="I86" s="12" t="inlineStr">
        <is>
          <t>total computable, federal share, state share</t>
        </is>
      </c>
      <c r="J86" s="12" t="inlineStr">
        <is>
          <t>FY2026–2035</t>
        </is>
      </c>
      <c r="K86" s="12" t="inlineStr">
        <is>
          <t>real 2026 dollars</t>
        </is>
      </c>
      <c r="L86" s="12" t="inlineStr">
        <is>
          <t>primary</t>
        </is>
      </c>
      <c r="M86" s="12" t="inlineStr">
        <is>
          <t>SUPERSEDED October 11, 2026. The row records a note statement in the former Limitations that all thirty annual cells were checked. v17 has no such statement; it gives only the rule that the note uses table sums where CMS's text and tables differ (App. E). The check itself remains true and is kept as ledger evidence, and it still supports CE-23. Removed or reversed by: the revisions between the v9 sync and v17 (the supplied decision log and change map do not identify which revision removed the Limitations statement). Replaced by: CE-03 and CE-25 (the table-sum rule); the thirty-cell result stays here as ledger evidence. Original cross-check, retained for the record: RE-VERIFIED cell by cell for this ledger: CMS-2452-P Table 13's Total, Federal share and State share annual series match CMS-2449-P Tables 18, 19 and 20 Impact series for all ten years each — thirty of thirty, no mismatch — and sum to −774.8, −510.1 and −264.7 respectively. This is what makes the bitmap transcription trustworthy (decision log B-2), and the same check is what exposes CMS's printing error at CE-23: Table 13's stated ten-year state total is −246.7 (R0735, flagged I-02 in the worksheet) while its own cells sum to −264.7</t>
        </is>
      </c>
      <c r="N86" s="12" t="inlineStr">
        <is>
          <t>SUPERSEDED — thirty-cell check no longer a note claim; table-sum rule at CE-03 and CE-25</t>
        </is>
      </c>
    </row>
    <row r="87" ht="220.5" customHeight="1" s="10">
      <c r="A87" s="12" t="inlineStr">
        <is>
          <t>2. CMS estimates</t>
        </is>
      </c>
      <c r="B87" s="13" t="inlineStr">
        <is>
          <t>CE-36</t>
        </is>
      </c>
      <c r="C87" s="12" t="inlineStr">
        <is>
          <t>The −$220.3B already nets out the lower provider taxes ($384.0B − $163.7B = $220.3B), as CMS's title for Table 12, 'Projected Net Changes Related to Changes in Provider Tax Revenues and Expenditures', indicates</t>
        </is>
      </c>
      <c r="D87" s="12" t="inlineStr">
        <is>
          <t>derived arithmetic + CMS caption [I]/[E]</t>
        </is>
      </c>
      <c r="E87" s="12" t="inlineStr">
        <is>
          <t>CMS-2452-P Tables 8, 11, 12, 14</t>
        </is>
      </c>
      <c r="F87" s="12" t="inlineStr">
        <is>
          <t>91 FR 46590–46593; R0548, R0559, R0658, R0669, R0691, R0702; Table 12 caption (CE-37); note sec. 5 ('The provider tax rule's two figures for providers')</t>
        </is>
      </c>
      <c r="G87" s="12" t="inlineStr">
        <is>
          <t>Note sec. 5</t>
        </is>
      </c>
      <c r="H87" s="12" t="inlineStr">
        <is>
          <t>Identification of how the provider row is constructed</t>
        </is>
      </c>
      <c r="I87" s="12" t="inlineStr">
        <is>
          <t>provider aggregate</t>
        </is>
      </c>
      <c r="J87" s="12" t="inlineStr">
        <is>
          <t>FY2026–2035</t>
        </is>
      </c>
      <c r="K87" s="12" t="inlineStr">
        <is>
          <t>real 2026 dollars</t>
        </is>
      </c>
      <c r="L87" s="12" t="inlineStr">
        <is>
          <t>primary</t>
        </is>
      </c>
      <c r="M87" s="12" t="inlineStr">
        <is>
          <t>Internal: 138.2 − 198.7 = −60.5 and 384.0 − 163.7 = 220.3, both exact. Caption confirmed against the worksheet (CE-37). Georgetown CCF reaches the same reading independently (TP-08). Replaces CE-13, whose 'a transfer table cannot balance with one row net and another gross' argument is withdrawn as unsound (D-14). NOTE FOR THE AUTHOR: sec. 2.1 still says the zero-sum 'property shows the provider line in each table is a net figure'. Balancing alone does not show this, for the reason D-14 gives, so that sentence may keep a trace of the withdrawn argument; the three observations carry the claim without it UPDATED October 11, 2026: v17 states two of the three observations (the arithmetic and the caption) in sec. 5; the States row's net construction ($138.2B − $198.7B = −$60.5B) is stated in sec. 3 (CE-67). Georgetown CCF's independent reading is at TP-08. Previous wording: 'The provider line in Tables 12 and 14 is a net figure, not a gross payment reduction. Three observations support that reading: the States row is itself net ($138.2B Medicaid savings less $198.7B lost tax revenue = −$60.5B); $384.0B − $163.7B = $220.3B to the decimal; and CMS captions Table 12 'Projected Net Changes''</t>
        </is>
      </c>
      <c r="N87" s="12" t="inlineStr">
        <is>
          <t>verified</t>
        </is>
      </c>
    </row>
    <row r="88" ht="53.25" customHeight="1" s="10">
      <c r="A88" s="12" t="inlineStr">
        <is>
          <t>2. CMS estimates</t>
        </is>
      </c>
      <c r="B88" s="13" t="inlineStr">
        <is>
          <t>CE-37</t>
        </is>
      </c>
      <c r="C88" s="12" t="inlineStr">
        <is>
          <t>CMS captions Table 12 'Projected Net Changes Related to Changes in Provider Tax Revenues and Expenditures'</t>
        </is>
      </c>
      <c r="D88" s="12" t="inlineStr">
        <is>
          <t>CMS estimate (caption)</t>
        </is>
      </c>
      <c r="E88" s="12" t="inlineStr">
        <is>
          <t>CMS-2452-P Table 12</t>
        </is>
      </c>
      <c r="F88" s="12" t="inlineStr">
        <is>
          <t>Table 12, 91 FR 46592; worksheet Table_Index and caption field of R0680–R0713</t>
        </is>
      </c>
      <c r="G88" s="12" t="inlineStr">
        <is>
          <t>"TABLE 12-PROJECTED NET CHANGES RELATED TO CHANGES IN PROVIDER TAX REVENUES AND EXPENDITURES"</t>
        </is>
      </c>
      <c r="H88" s="12" t="inlineStr">
        <is>
          <t>CMS's own label for the four-party table</t>
        </is>
      </c>
      <c r="I88" s="12" t="inlineStr">
        <is>
          <t>all four parties</t>
        </is>
      </c>
      <c r="J88" s="12" t="inlineStr">
        <is>
          <t>FY2026–2035</t>
        </is>
      </c>
      <c r="K88" s="12" t="inlineStr">
        <is>
          <t>real 2026 dollars</t>
        </is>
      </c>
      <c r="L88" s="12" t="inlineStr">
        <is>
          <t>primary, excluding interaction</t>
        </is>
      </c>
      <c r="M88" s="12" t="inlineStr">
        <is>
          <t>Confirmed verbatim against the worksheet. Table 14 carries the same caption with 'Including Interaction with Section 71116 of the WFTC Legislation' added, and Tables 15–18 carry it with a scenario prefix. This caption replaces the transfer-table demonstration at CE-13</t>
        </is>
      </c>
      <c r="N88" s="12" t="inlineStr">
        <is>
          <t>verified - caption confirmed against the reconciliation worksheet</t>
        </is>
      </c>
    </row>
    <row r="89" ht="63.75" customHeight="1" s="10">
      <c r="A89" s="12" t="inlineStr">
        <is>
          <t>2. CMS estimates</t>
        </is>
      </c>
      <c r="B89" s="13" t="inlineStr">
        <is>
          <t>CE-38</t>
        </is>
      </c>
      <c r="C89" s="12" t="inlineStr">
        <is>
          <t>Stacked, the two RIAs project Medicaid payments to providers falling $916.9B over 2026–2035 in the primary scenario: the SDP rule's $774.8B plus the provider tax rule's $142.1B increment after the overlap</t>
        </is>
      </c>
      <c r="D89" s="12" t="inlineStr">
        <is>
          <t>derived arithmetic - [FIRM] construction, not a CMS figure</t>
        </is>
      </c>
      <c r="E89" s="12" t="inlineStr">
        <is>
          <t>CMS-2449-P Table 18; CMS-2452-P narrative</t>
        </is>
      </c>
      <c r="F89" s="12" t="inlineStr">
        <is>
          <t>91 FR 30451 (R0146); 91 FR 46592 (R1009)</t>
        </is>
      </c>
      <c r="G89" s="12" t="inlineStr">
        <is>
          <t>Note Summary of findings; orientation exhibit row 3; Figure 1</t>
        </is>
      </c>
      <c r="H89" s="12" t="inlineStr">
        <is>
          <t>Combined gross provider payment reduction, overlap-adjusted</t>
        </is>
      </c>
      <c r="I89" s="12" t="inlineStr">
        <is>
          <t>provider aggregate, total computable</t>
        </is>
      </c>
      <c r="J89" s="12" t="inlineStr">
        <is>
          <t>FY2026–2035</t>
        </is>
      </c>
      <c r="K89" s="12" t="inlineStr">
        <is>
          <t>real 2026 dollars</t>
        </is>
      </c>
      <c r="L89" s="12" t="inlineStr">
        <is>
          <t>primary, overlap-adjusted</t>
        </is>
      </c>
      <c r="M89" s="12" t="inlineStr">
        <is>
          <t>Internal: 774.8 + 142.1 = 916.9 exactly; equivalently 774.8 + 384.0 − 241.9 = 916.9 (Figure 1). Attribution: the figure sums CMS's estimates of Sections 71116 and 71115 as the two proposed rules would implement them, each against a baseline without the 2025 law (CE-43). It is not an estimate of the rules' own effect separate from the statute's, which neither RIA isolates (D-15)</t>
        </is>
      </c>
      <c r="N89" s="12" t="inlineStr">
        <is>
          <t>verified as derived - [FIRM]'s sum of two CMS figures</t>
        </is>
      </c>
    </row>
    <row r="90" ht="32.25" customHeight="1" s="10">
      <c r="A90" s="12" t="inlineStr">
        <is>
          <t>2. CMS estimates</t>
        </is>
      </c>
      <c r="B90" s="13" t="inlineStr">
        <is>
          <t>CE-39</t>
        </is>
      </c>
      <c r="C90" s="12" t="inlineStr">
        <is>
          <t>Net of the $163.7B providers save in provider taxes, the stacked primary-scenario figure is about −$753B</t>
        </is>
      </c>
      <c r="D90" s="12" t="inlineStr">
        <is>
          <t>derived arithmetic - [FIRM] construction</t>
        </is>
      </c>
      <c r="E90" s="12" t="inlineStr">
        <is>
          <t>CE-38; CMS-2452-P Table 8</t>
        </is>
      </c>
      <c r="F90" s="12" t="inlineStr">
        <is>
          <t>R0146, R1009, R0559</t>
        </is>
      </c>
      <c r="G90" s="12" t="inlineStr">
        <is>
          <t>Note Summary of findings</t>
        </is>
      </c>
      <c r="H90" s="12" t="inlineStr">
        <is>
          <t>Combined net provider position, before any offset for provider-financed non-federal share</t>
        </is>
      </c>
      <c r="I90" s="12" t="inlineStr">
        <is>
          <t>provider aggregate</t>
        </is>
      </c>
      <c r="J90" s="12" t="inlineStr">
        <is>
          <t>FY2026–2035</t>
        </is>
      </c>
      <c r="K90" s="12" t="inlineStr">
        <is>
          <t>real 2026 dollars</t>
        </is>
      </c>
      <c r="L90" s="12" t="inlineStr">
        <is>
          <t>primary, overlap-adjusted</t>
        </is>
      </c>
      <c r="M90" s="12" t="inlineStr">
        <is>
          <t>Internal: −916.9 + 163.7 = −753.2. Second route: −774.8 + 21.7 (Table 14 providers, R0779) = −753.1; the 0.1 difference is rounding. Same statutory attribution as CE-38</t>
        </is>
      </c>
      <c r="N90" s="12" t="inlineStr">
        <is>
          <t>verified as derived</t>
        </is>
      </c>
    </row>
    <row r="91" ht="137.25" customHeight="1" s="10">
      <c r="A91" s="12" t="inlineStr">
        <is>
          <t>2. CMS estimates</t>
        </is>
      </c>
      <c r="B91" s="13" t="inlineStr">
        <is>
          <t>CE-40</t>
        </is>
      </c>
      <c r="C91" s="12" t="inlineStr">
        <is>
          <t>Where providers pay the provider taxes or IGTs that fund the state share of SDPs, CMS writes that 'the net change in provider revenue … could be significantly less', though it is 'unable to estimate the impacts on providers in more detail'</t>
        </is>
      </c>
      <c r="D91" s="12" t="inlineStr">
        <is>
          <t>CMS estimate (caveat) [E]</t>
        </is>
      </c>
      <c r="E91" s="12" t="inlineStr">
        <is>
          <t>CMS-2449-P RIA narrative</t>
        </is>
      </c>
      <c r="F91" s="12" t="inlineStr">
        <is>
          <t>91 FR 30453. NO WORKSHEET ROW - the worksheet transcribes quantitative estimates; searches for 'IGTs' and 'significantly less' return nothing</t>
        </is>
      </c>
      <c r="G91" s="12" t="inlineStr">
        <is>
          <t>Note sec. 4 (step 3), two fragments: 'the net change in provider revenue … could be significantly less' and 'unable to estimate the impacts on providers in more detail'</t>
        </is>
      </c>
      <c r="H91" s="12" t="inlineStr">
        <is>
          <t>CMS's own qualification that its SDP figure is gross of provider-financed non-federal share</t>
        </is>
      </c>
      <c r="I91" s="12" t="inlineStr">
        <is>
          <t>provider aggregate</t>
        </is>
      </c>
      <c r="J91" s="12" t="inlineStr">
        <is>
          <t>FY2026–2035</t>
        </is>
      </c>
      <c r="K91" s="12" t="inlineStr">
        <is>
          <t>real 2026 dollars</t>
        </is>
      </c>
      <c r="L91" s="12" t="inlineStr">
        <is>
          <t>primary</t>
        </is>
      </c>
      <c r="M91" s="12" t="inlineStr">
        <is>
          <t>Quoted from the Federal Register page as the note gives it; no second source. Consistent with RM-13 (80–90% of SDPs relied on provider taxes or IGTs) UPDATED October 11, 2026: v17 paraphrases the opening clause and quotes two fragments (19 words in all); the second fragment is new in the ledger and comes from the same page. v17 no longer says 'the SDP rule's figure is gross'. Neither fragment was matched against the Federal Register in the verification files. Previous wording: 'The SDP rule's figure is gross. CMS writes that "to the extent providers pay provider taxes or IGTs that are used to support the non-Federal share for SDPs, the net change in provider revenue (SDPs minus provider taxes and IGTs paid and transferred by providers) could be significantly less"'</t>
        </is>
      </c>
      <c r="N91" s="12" t="inlineStr">
        <is>
          <t>single-source - quoted from 91 FR 30453 as the note gives it; no worksheet row</t>
        </is>
      </c>
    </row>
    <row r="92" ht="168" customHeight="1" s="10">
      <c r="A92" s="12" t="inlineStr">
        <is>
          <t>2. CMS estimates</t>
        </is>
      </c>
      <c r="B92" s="13" t="inlineStr">
        <is>
          <t>CE-41</t>
        </is>
      </c>
      <c r="C92" s="12" t="inlineStr">
        <is>
          <t>The $488B floor subtracts at most a further $264.7B, the state share of the SDP cut that providers may partly stop funding through provider taxes and IGTs. It is a best case, since states fund part of the state share from general revenue and step 2's $163.7B may already count part of what providers stop paying. Pairing CMS's low-savings and high-savings estimates widens the range to about $122B (low-savings, after step 3) at one end and about $1,126B (high-savings, after step 2) at the other</t>
        </is>
      </c>
      <c r="D92" s="12" t="inlineStr">
        <is>
          <t>derived arithmetic - [FIRM] construction [I]</t>
        </is>
      </c>
      <c r="E92" s="12" t="inlineStr">
        <is>
          <t>CE-39; CMS-2449-P Tables 20, 22, 23</t>
        </is>
      </c>
      <c r="F92" s="12" t="inlineStr">
        <is>
          <t>Note sec. 4; App. D table; CE-39; CMS-2449-P Tables 20, 22, 23 (state shares 264.7, 136.3 (R0986), 340.0 (Table 23 cell sum; text $339.6B))</t>
        </is>
      </c>
      <c r="G92" s="12" t="inlineStr">
        <is>
          <t>Note sec. 1 (executive summary), sec. 4, App. D</t>
        </is>
      </c>
      <c r="H92" s="12" t="inlineStr">
        <is>
          <t>Bounds on the combined net provider position</t>
        </is>
      </c>
      <c r="I92" s="12" t="inlineStr">
        <is>
          <t>provider aggregate</t>
        </is>
      </c>
      <c r="J92" s="12" t="inlineStr">
        <is>
          <t>FY2026–2035</t>
        </is>
      </c>
      <c r="K92" s="12" t="inlineStr">
        <is>
          <t>real 2026 dollars</t>
        </is>
      </c>
      <c r="L92" s="12" t="inlineStr">
        <is>
          <t>primary; low and high at the bound</t>
        </is>
      </c>
      <c r="M92" s="12" t="inlineStr">
        <is>
          <t>Internal: −753.2 + 264.7 = −488.5. At the bound, low: −258.8 (CE-42) + 136.3 = −122.5; high: −1,125.8 + 340.0 = −785.8 (−786.2 on the narrative's 339.6). All three remain losses. The ceiling on the offset is [FIRM]'s reasoning from CMS's caveat: provider taxes and IGTs finance only the non-federal share. CMS does not state the bound UPDATED October 11, 2026: v17 adds two limits the earlier row did not state: states fund part of the state share from general revenue, and step 2's $163.7B may already count part of what providers stop paying, so $488B is a best case. v17 also gives the paired range as about $122B to about $1,126B in 2026 dollars over 2026–2035. 'CMS's data support no closer estimate' is [I]. Previous wording: 'The offset CMS describes at CE-40 cannot exceed the $264.7B non-federal share, so the stacked net lies between about −$488B and −$753B; stacking CMS's printed low and high totals, it remains a loss at that bound as well'</t>
        </is>
      </c>
      <c r="N92" s="12" t="inlineStr">
        <is>
          <t>verified with caveat - arithmetic closes; the ceiling is [FIRM]'s reasoning, not CMS's statement</t>
        </is>
      </c>
    </row>
    <row r="93" ht="105.75" customHeight="1" s="10">
      <c r="A93" s="12" t="inlineStr">
        <is>
          <t>2. CMS estimates</t>
        </is>
      </c>
      <c r="B93" s="13" t="inlineStr">
        <is>
          <t>CE-42</t>
        </is>
      </c>
      <c r="C93" s="12" t="inlineStr">
        <is>
          <t>Stacking CMS's low-savings and high-savings totals gives about $259B and $1,126B of loss to providers after step 2 (about $122B and $786B after step 3); CMS does not say how the two rules' estimates pair, and pairing low with low and high with high is THEIA Services' choice</t>
        </is>
      </c>
      <c r="D93" s="12" t="inlineStr">
        <is>
          <t>derived arithmetic - [FIRM] construction [I]</t>
        </is>
      </c>
      <c r="E93" s="12" t="inlineStr">
        <is>
          <t>CMS-2449-P narrative; CMS-2452-P Tables 16, 18</t>
        </is>
      </c>
      <c r="F93" s="12" t="inlineStr">
        <is>
          <t>Low-savings: 91 FR 30453 (R0984) and Table 18, 91 FR 46594 (R0955). High-savings: 91 FR 30454 (R0987) and Table 16, 91 FR 46594 (R0867). Note App. D (table and source note)</t>
        </is>
      </c>
      <c r="G93" s="12" t="inlineStr">
        <is>
          <t>Note App. D</t>
        </is>
      </c>
      <c r="H93" s="12" t="inlineStr">
        <is>
          <t>Combined net provider position, low and high</t>
        </is>
      </c>
      <c r="I93" s="12" t="inlineStr">
        <is>
          <t>provider aggregate</t>
        </is>
      </c>
      <c r="J93" s="12" t="inlineStr">
        <is>
          <t>FY2026–2035</t>
        </is>
      </c>
      <c r="K93" s="12" t="inlineStr">
        <is>
          <t>real 2026 dollars</t>
        </is>
      </c>
      <c r="L93" s="12" t="inlineStr">
        <is>
          <t>low with low, high with high</t>
        </is>
      </c>
      <c r="M93" s="12" t="inlineStr">
        <is>
          <t>Internal: low −408.4 + 149.6 = −258.8; high −989.7 − 136.1 = −1,125.8. The pairing of like-named scenarios is [FIRM]'s choice; CMS states none, and the note says so UPDATED October 11, 2026: v17 shows the paired figures as a table in App. D (after step 2: 258.8 / 753.2 / 1,125.8; step 3 ceiling 136.3 / 264.7 / 340.0; after step 3: 122.5 / 488.5 / 785.8) and gives $340.0B as the sum of Table 23's cells. Previous wording: 'Stacking CMS's printed low and high totals gives about −$259B and −$1,126B; CMS does not state how the two rules' low and high scenarios pair'</t>
        </is>
      </c>
      <c r="N93" s="12" t="inlineStr">
        <is>
          <t>verified with caveat - arithmetic closes; scenario pairing is [FIRM]'s</t>
        </is>
      </c>
    </row>
    <row r="94" ht="304.5" customHeight="1" s="10">
      <c r="A94" s="12" t="inlineStr">
        <is>
          <t>2. CMS estimates</t>
        </is>
      </c>
      <c r="B94" s="13" t="inlineStr">
        <is>
          <t>CE-43</t>
        </is>
      </c>
      <c r="C94" s="12" t="inlineStr">
        <is>
          <t>CMS estimates each rule in a Regulatory Impact Analysis measured against a projection of Medicaid without the OBBBA: the SDP rule's SDP estimates (91 FR 30447) and the provider tax rule (91 FR 46589–46591); both therefore include the OBBBA's own effect. The SDP rule's fee-for-service estimates state no baseline (91 FR 30455)</t>
        </is>
      </c>
      <c r="D94" s="12" t="inlineStr">
        <is>
          <t>CMS estimate (baseline) [E]/[I]</t>
        </is>
      </c>
      <c r="E94" s="12" t="inlineStr">
        <is>
          <t>CMS-2452-P RIA; CMS-2449-P RIA</t>
        </is>
      </c>
      <c r="F94" s="12" t="inlineStr">
        <is>
          <t>SDP rule: 91 FR 30447 (RIA, '3. Transfers', 'a. State Directed Payments'); FFS estimates: 91 FR 30455. Provider tax rule: 91 FR 46562 RIA ('pre-statute' baseline); Tables 5, 9, 10, 91 FR 46589–46591 (R0515, R0581–R0603, R0614–R0636)</t>
        </is>
      </c>
      <c r="G94" s="12" t="inlineStr">
        <is>
          <t>Note sec. 3, first paragraph; Round 3 item 1: 'projections of Medicaid spending in the President's FY 2027 Budget … excluding any changes in spending attributable to the WFTC legislation' (91 FR 30447)</t>
        </is>
      </c>
      <c r="H94" s="12" t="inlineStr">
        <is>
          <t>The counterfactual both RIAs measure against, and what they do not separate</t>
        </is>
      </c>
      <c r="I94" s="12" t="inlineStr">
        <is>
          <t>both rules</t>
        </is>
      </c>
      <c r="J94" s="12" t="inlineStr">
        <is>
          <t>FY2026–2035</t>
        </is>
      </c>
      <c r="K94" s="12" t="inlineStr">
        <is>
          <t>real 2026 dollars</t>
        </is>
      </c>
      <c r="L94" s="12" t="inlineStr">
        <is>
          <t>all scenarios</t>
        </is>
      </c>
      <c r="M94" s="12" t="inlineStr">
        <is>
          <t>CMS-2452-P limb VERIFIED (D-16): CMS states it used a 'pre-statute' baseline and captions Tables 5, 9 and 10 as projections absent the effects of the WFTC legislation. Worksheet caveats: Table 5's caption misprints WFTC as 'WTFC' (worksheet I-05); the worksheet transcribes the Table 9 and 10 captions as ending '...ABSENT THE EFFECTS OF THE WFTC'; and its generic 'Baseline used' label ('current-law/current-policy baseline as described in the RIA') is a transcription placeholder, not a reading of a with-statute baseline. CMS-2449-P limb: its RIA captions frame each estimate as the impact of 'limiting SDPs under Section 71116 of the WFTC legislation'; no CMS-2449-P statement of its baseline equivalent to 'pre-statute' was located, so that limb rests on the captions. Negative limb: no table in either RIA (worksheet Table_Index) separates a regulatory-only effect UPDATED October 11, 2026: The CMS-2449-P limb, which rested on table captions, is now confirmed at 91 FR 30447 (Round 3 item 1); the FFS estimates at 91 FR 30455 say only that they are 'based on forecasted growth of Medicaid FFS spending', so no baseline is stated for them. v17 drops the negative limb ('neither separates the rules' own effect from the statute's'): it says instead that the SDP rule prices Section 71116 and its extension separately (CE-56) and that THEIA found no separate estimate of what the provider tax rule adds to Section 71115 (NC-16). The CMS-2452-P limb stays verified at D-16 with the worksheet caveats above. Previous wording: 'Both RIAs score Sections 71115 and 71116 as these proposed rules would implement them, against a baseline without the 2025 law; neither separates the rules' own effect from the statute's'</t>
        </is>
      </c>
      <c r="N94" s="12" t="inlineStr">
        <is>
          <t>verified — baseline confirmed for both rules' main estimates (91 FR 30447; D-16); FFS estimates state no baseline</t>
        </is>
      </c>
    </row>
    <row r="95" ht="168" customHeight="1" s="10">
      <c r="A95" s="12" t="inlineStr">
        <is>
          <t>2. CMS estimates</t>
        </is>
      </c>
      <c r="B95" s="13" t="inlineStr">
        <is>
          <t>CE-44</t>
        </is>
      </c>
      <c r="C95" s="12" t="inlineStr">
        <is>
          <t>CMS's own accounting statement treats the interaction-inclusive figures as the provider tax rule's transfers</t>
        </is>
      </c>
      <c r="D95" s="12" t="inlineStr">
        <is>
          <t>CMS estimate</t>
        </is>
      </c>
      <c r="E95" s="12" t="inlineStr">
        <is>
          <t>CMS-2452-P Table 19 (Accounting Statement)</t>
        </is>
      </c>
      <c r="F95" s="12" t="inlineStr">
        <is>
          <t>Table 19, 91 FR 46596; R1019</t>
        </is>
      </c>
      <c r="G95" s="12" t="inlineStr">
        <is>
          <t>Annualized monetized transfers, providers: $2,448M primary, $13,155M low, −$11,525M high (7 percent)</t>
        </is>
      </c>
      <c r="H95" s="12" t="inlineStr">
        <is>
          <t>Which provider series CMS carries into its Accounting Statement</t>
        </is>
      </c>
      <c r="I95" s="12" t="inlineStr">
        <is>
          <t>federal, states, providers</t>
        </is>
      </c>
      <c r="J95" s="12" t="inlineStr">
        <is>
          <t>2026–2035, annualized</t>
        </is>
      </c>
      <c r="K95" s="12" t="inlineStr">
        <is>
          <t>millions, annualized</t>
        </is>
      </c>
      <c r="L95" s="12" t="inlineStr">
        <is>
          <t>primary / low / high</t>
        </is>
      </c>
      <c r="M95" s="12" t="inlineStr">
        <is>
          <t>SUPERSEDED October 11, 2026. v17 cites Table 19 (91 FR 46596) only for the states' net, −$147.5B (sec. 3; CE-67). It no longer says CMS's accounting statement carries the interaction-inclusive provider series as the provider tax rule's transfers. The finding remains true to the worksheet (R1019) and is kept as ledger evidence. Removed or reversed by: the revisions between the v9 sync and v17 (the supplied decision log and change map do not identify which revision removed the claim). Replaced by: none for the provider series; the states' net from the same table is at CE-67. Original cross-check, retained for the record: Internal: the provider signs (+ / + / −) match the interaction-inclusive Tables 14, 18, 16 (+21.7, +149.6, −136.1) and not the standalone Tables 12, 17, 15, which are negative in all three. Federal $7,598M / $746M / $16,537M follows the interaction-inclusive order (90.9 / 9.1 / 191.8)</t>
        </is>
      </c>
      <c r="N95" s="12" t="inlineStr">
        <is>
          <t>SUPERSEDED — accounting-statement provider series no longer a note claim</t>
        </is>
      </c>
    </row>
    <row r="96" ht="74.25" customHeight="1" s="10">
      <c r="A96" s="12" t="inlineStr">
        <is>
          <t>2. CMS estimates</t>
        </is>
      </c>
      <c r="B96" s="13" t="inlineStr">
        <is>
          <t>CE-45</t>
        </is>
      </c>
      <c r="C96" s="12" t="inlineStr">
        <is>
          <t>The +$21.7B is front-loaded: about +$24.3B over 2026–2031 and −$2.7B over 2032–2035</t>
        </is>
      </c>
      <c r="D96" s="12" t="inlineStr">
        <is>
          <t>derived arithmetic</t>
        </is>
      </c>
      <c r="E96" s="12" t="inlineStr">
        <is>
          <t>CMS-2452-P Table 14</t>
        </is>
      </c>
      <c r="F96" s="12" t="inlineStr">
        <is>
          <t>Table 14, 91 FR 46593; R0780–R0789</t>
        </is>
      </c>
      <c r="G96" s="12" t="inlineStr">
        <is>
          <t>Table 14 providers annual cells</t>
        </is>
      </c>
      <c r="H96" s="12" t="inlineStr">
        <is>
          <t>Timing of the net provider position</t>
        </is>
      </c>
      <c r="I96" s="12" t="inlineStr">
        <is>
          <t>provider aggregate</t>
        </is>
      </c>
      <c r="J96" s="12" t="inlineStr">
        <is>
          <t>FY2026–2035</t>
        </is>
      </c>
      <c r="K96" s="12" t="inlineStr">
        <is>
          <t>real 2026 dollars</t>
        </is>
      </c>
      <c r="L96" s="12" t="inlineStr">
        <is>
          <t>primary, including interaction</t>
        </is>
      </c>
      <c r="M96" s="12" t="inlineStr">
        <is>
          <t>Internal: 1.9 + 2.4 + 5.0 + 6.7 + 5.7 + 2.6 = 24.3; −2.4 − 0.9 + 0.1 + 0.5 = −2.7; together 21.6 against the printed 21.7, a sum-of-rounded-cells gap (worksheet I-09) UPDATED October 11, 2026: v17 names the timing only in the App. D heading ('the timing of the +$21.7 billion'); no drafted note states the $24.3B and −$2.7B split yet. Retained because the outline commits to it.</t>
        </is>
      </c>
      <c r="N96" s="12" t="inlineStr">
        <is>
          <t>verified - against the worksheet's annual cells</t>
        </is>
      </c>
    </row>
    <row r="97" ht="157.5" customHeight="1" s="10">
      <c r="A97" s="12" t="inlineStr">
        <is>
          <t>2. CMS estimates</t>
        </is>
      </c>
      <c r="B97" s="13" t="inlineStr">
        <is>
          <t>CE-46</t>
        </is>
      </c>
      <c r="C97" s="12" t="inlineStr">
        <is>
          <t>The derived overlap is about 95, 63 and 38 percent of each scenario's standalone payment cut (low, primary, high), on denominators of $298.7B, $384.0B and $480.2B, assuming the $163.7B tax relief is the same in every scenario</t>
        </is>
      </c>
      <c r="D97" s="12" t="inlineStr">
        <is>
          <t>derived arithmetic - [FIRM] construction</t>
        </is>
      </c>
      <c r="E97" s="12" t="inlineStr">
        <is>
          <t>CMS-2452-P Tables 8, 11, 12, 15, 17</t>
        </is>
      </c>
      <c r="F97" s="12" t="inlineStr">
        <is>
          <t>R0911, R0702, R0823, R0559, R0669; overlaps at CE-14 and CE-33</t>
        </is>
      </c>
      <c r="G97" s="12" t="inlineStr">
        <is>
          <t>Note sec. 2.3; Figure 4</t>
        </is>
      </c>
      <c r="H97" s="12" t="inlineStr">
        <is>
          <t>Overlap as a share of the scenario's standalone provider payment reduction</t>
        </is>
      </c>
      <c r="I97" s="12" t="inlineStr">
        <is>
          <t>provider aggregate, total computable</t>
        </is>
      </c>
      <c r="J97" s="12" t="inlineStr">
        <is>
          <t>FY2026–2035</t>
        </is>
      </c>
      <c r="K97" s="12" t="inlineStr">
        <is>
          <t>real 2026 dollars</t>
        </is>
      </c>
      <c r="L97" s="12" t="inlineStr">
        <is>
          <t>low / primary / high</t>
        </is>
      </c>
      <c r="M97" s="12" t="inlineStr">
        <is>
          <t>SUPERSEDED October 11, 2026. The overlap as a share of each estimate's standalone cut (95, 63 and 38 percent) fed only Figure 4, which v17 does not carry; the body, appendix notes and App. D heading name the derived overlaps (CE-33) but not these shares. The finding remains true and is kept as ledger evidence. Removed or reversed by: the revisions between the v9 sync and v17 (Figure 4 is absent from v17; the supplied decision log and change map do not identify the revision). Replaced by: none (removed, not reversed). Original cross-check, retained for the record: Internal: low 135.0 + 163.7 = 298.7, 284.6 / 298.7 = 95.3%; primary 220.3 + 163.7 = 384.0, matching Table 11 exactly (R0669), 241.9 / 384.0 = 63.0%; high 316.5 + 163.7 = 480.2, 180.4 / 480.2 = 37.6%. CMS prints Table 8's tax relief for the primary scenario only; the note states the constant-relief assumption (Figure 4 note)</t>
        </is>
      </c>
      <c r="N97" s="12" t="inlineStr">
        <is>
          <t>SUPERSEDED — Figure 4 dropped; overlap shares no longer stated</t>
        </is>
      </c>
    </row>
    <row r="98" ht="137.25" customHeight="1" s="10">
      <c r="A98" s="12" t="inlineStr">
        <is>
          <t>2. CMS estimates</t>
        </is>
      </c>
      <c r="B98" s="13" t="inlineStr">
        <is>
          <t>CE-47</t>
        </is>
      </c>
      <c r="C98" s="12" t="inlineStr">
        <is>
          <t>The low-scenario share exceeds CMS's stated 'up to 90 percent' flow-through: CMS's low-scenario tables attribute the provider tax rule's entire payment reduction to SDPs in 2026–2031, so the stated parameter does not bound the overlap</t>
        </is>
      </c>
      <c r="D98" s="12" t="inlineStr">
        <is>
          <t>derived arithmetic</t>
        </is>
      </c>
      <c r="E98" s="12" t="inlineStr">
        <is>
          <t>CMS-2452-P Tables 8, 18; scenario narrative</t>
        </is>
      </c>
      <c r="F98" s="12" t="inlineStr">
        <is>
          <t>Table 18 providers 2026–2031 (R0956–R0961); Table 8 providers (R0560–R0565); low-scenario parameter 91 FR 46594</t>
        </is>
      </c>
      <c r="G98" s="12" t="inlineStr">
        <is>
          <t>Note sec. 2.3; Figure 4 note</t>
        </is>
      </c>
      <c r="H98" s="12" t="inlineStr">
        <is>
          <t>Comparison of the derived overlap share with CMS's stated flow-through parameter</t>
        </is>
      </c>
      <c r="I98" s="12" t="inlineStr">
        <is>
          <t>provider aggregate</t>
        </is>
      </c>
      <c r="J98" s="12" t="inlineStr">
        <is>
          <t>2026–2031; ten-year share</t>
        </is>
      </c>
      <c r="K98" s="12" t="inlineStr">
        <is>
          <t>real 2026 dollars</t>
        </is>
      </c>
      <c r="L98" s="12" t="inlineStr">
        <is>
          <t>low</t>
        </is>
      </c>
      <c r="M98" s="12" t="inlineStr">
        <is>
          <t>SUPERSEDED October 11, 2026. v17 does not say the low-scenario share exceeds CMS's 'up to 90 percent' flow-through; the comparison fed Figure 4, which v17 does not carry. The finding rests on the CE-46 assumption and remains ledger evidence only. Removed or reversed by: the revisions between the v9 sync and v17 (Figure 4 is absent from v17; the supplied decision log and change map do not identify the revision). Replaced by: none (removed, not reversed). Original cross-check, retained for the record: Internal: Table 18's provider cells for 2026–2031 (1.9, 2.4, 5.0, 8.6, 13.6, 19.6) equal Table 8's tax relief cells exactly, so the net incremental payment reduction in those years is zero under the constant-relief assumption (CE-46). 95.3% &gt; 90%</t>
        </is>
      </c>
      <c r="N98" s="12" t="inlineStr">
        <is>
          <t>SUPERSEDED — Figure 4 dropped; flow-through comparison no longer stated</t>
        </is>
      </c>
    </row>
    <row r="99" ht="63.75" customHeight="1" s="10">
      <c r="A99" s="12" t="inlineStr">
        <is>
          <t>2. CMS estimates</t>
        </is>
      </c>
      <c r="B99" s="13" t="inlineStr">
        <is>
          <t>CE-48</t>
        </is>
      </c>
      <c r="C99" s="12" t="inlineStr">
        <is>
          <t>CMS's word for the 38, 37, 65, 75 and 55 percent figures is 'SDPs'; it uses 'SDP spending' only for the 55–75 percent range</t>
        </is>
      </c>
      <c r="D99" s="12" t="inlineStr">
        <is>
          <t>CMS estimate (wording)</t>
        </is>
      </c>
      <c r="E99" s="12" t="inlineStr">
        <is>
          <t>CMS-2452-P narrative</t>
        </is>
      </c>
      <c r="F99" s="12" t="inlineStr">
        <is>
          <t>91 FR 46592 (R1012); range sentence 91 FR 46592 (CE-31); scenario parameters 91 FR 46593–46594 (CE-32)</t>
        </is>
      </c>
      <c r="G99" s="12" t="inlineStr">
        <is>
          <t>R1012: "We use 65 percent as our assumption about the percentage of SDPs funded through provider taxes"; bracketed preprint shares 'of SDPs'</t>
        </is>
      </c>
      <c r="H99" s="12" t="inlineStr">
        <is>
          <t>Denominator wording of CMS's tax-financing figures</t>
        </is>
      </c>
      <c r="I99" s="12" t="inlineStr">
        <is>
          <t>SDPs</t>
        </is>
      </c>
      <c r="J99" s="12" t="inlineStr">
        <is>
          <t>n/a</t>
        </is>
      </c>
      <c r="K99" s="12" t="inlineStr">
        <is>
          <t>n/a - shares</t>
        </is>
      </c>
      <c r="L99" s="12" t="inlineStr">
        <is>
          <t>all scenarios</t>
        </is>
      </c>
      <c r="M99" s="12" t="inlineStr">
        <is>
          <t>The 38 / 37 / 65 wording is confirmed against R1012. The 'SDP spending' wording of the range sentence is quoted at CE-31. The 75 and 55 percent scenario wording rests on the Federal Register pages as the note quotes them (CE-32; no worksheet row). Whether CMS's 'SDPs' counts arrangements or dollars is not stated. Supersedes the 'SDP spending' framing at CE-20 and TP-19</t>
        </is>
      </c>
      <c r="N99" s="12" t="inlineStr">
        <is>
          <t>verified with caveat - scenario-parameter wording has no worksheet row</t>
        </is>
      </c>
    </row>
    <row r="100" ht="116.25" customHeight="1" s="10">
      <c r="A100" s="12" t="inlineStr">
        <is>
          <t>2. CMS estimates</t>
        </is>
      </c>
      <c r="B100" s="13" t="inlineStr">
        <is>
          <t>CE-49</t>
        </is>
      </c>
      <c r="C100" s="12" t="inlineStr">
        <is>
          <t>CMS adopts 65 percent of SDPs as its working assumption. The preprint data show about 38 percent of SDPs financed with provider taxes and a further 37 percent financed with provider taxes together with at least one other source. The 75 percent upper end is 38 + 37; CMS does not explain the 55 percent lower end or the 65 percent point estimate</t>
        </is>
      </c>
      <c r="D100" s="12" t="inlineStr">
        <is>
          <t>CMS estimate (assumption) + derived arithmetic</t>
        </is>
      </c>
      <c r="E100" s="12" t="inlineStr">
        <is>
          <t>CMS-2452-P narrative</t>
        </is>
      </c>
      <c r="F100" s="12" t="inlineStr">
        <is>
          <t>91 FR 46592; R1012</t>
        </is>
      </c>
      <c r="G100" s="12" t="inlineStr">
        <is>
          <t>Note sec. 2.3</t>
        </is>
      </c>
      <c r="H100" s="12" t="inlineStr">
        <is>
          <t>The tax-financing parameter and its stated derivation</t>
        </is>
      </c>
      <c r="I100" s="12" t="inlineStr">
        <is>
          <t>SDPs</t>
        </is>
      </c>
      <c r="J100" s="12" t="inlineStr">
        <is>
          <t>n/a</t>
        </is>
      </c>
      <c r="K100" s="12" t="inlineStr">
        <is>
          <t>n/a - a share</t>
        </is>
      </c>
      <c r="L100" s="12" t="inlineStr">
        <is>
          <t>primary; range endpoints by scenario</t>
        </is>
      </c>
      <c r="M100" s="12" t="inlineStr">
        <is>
          <t>Internal: 38 + 37 = 75 exactly, the range's upper endpoint and the low-scenario parameter (CE-32). R1012 carries 38, 37 and 65 and no weighting, which corroborates that CMS does not explain 65. Replaces CE-20. D-3 updated UPDATED October 11, 2026: v17 names the 38 and 37 percent preprint figures only in the App. D heading; sec. 2 states the 65 percent central assumption within CMS's 55 to 75 percent range and does not say CMS leaves the 55 and 65 percent unexplained. Retained because the outline commits to it. v17 App. D notes that one commenter restates the 65 percent as a share of SDP spending (TP-32).</t>
        </is>
      </c>
      <c r="N100" s="12" t="inlineStr">
        <is>
          <t>verified with caveat - CMS's derivation of 55 and 65 is unpublished; the note says so</t>
        </is>
      </c>
    </row>
    <row r="101" ht="178.5" customHeight="1" s="10">
      <c r="A101" s="12" t="inlineStr">
        <is>
          <t>2. CMS estimates</t>
        </is>
      </c>
      <c r="B101" s="13" t="inlineStr">
        <is>
          <t>CE-50</t>
        </is>
      </c>
      <c r="C101" s="12" t="inlineStr">
        <is>
          <t>The sec. 5 table shows, for each rule and combination, the federal and state Medicaid spending reductions, which sum to the payments providers lose; the provider taxes states no longer collect ($198.7B: $163.7B saved by providers, $35.0B by private payers); the net for states; and the net for providers. The combined column, the $51.2B and $315.9B state figures and the providers' combined range are THEIA Services' arithmetic</t>
        </is>
      </c>
      <c r="D101" s="12" t="inlineStr">
        <is>
          <t>derived arithmetic [E]/[I]</t>
        </is>
      </c>
      <c r="E101" s="12" t="inlineStr">
        <is>
          <t>Both RIAs, as assembled by [FIRM]</t>
        </is>
      </c>
      <c r="F101" s="12" t="inlineStr">
        <is>
          <t>Note sec. 5 table and source note; R0177, R1008, R0647, R0658, R0669, R0548, R0559, R0570, R0702, R0779, R1009</t>
        </is>
      </c>
      <c r="G101" s="12" t="inlineStr">
        <is>
          <t>Note sec. 5 table; sec. 3 ('The federal and state reductions together equal the Medicaid payments each rule removes')</t>
        </is>
      </c>
      <c r="H101" s="12" t="inlineStr">
        <is>
          <t>Relationships among federal outlays, state outlays, gross provider payments, tax revenue and net provider position</t>
        </is>
      </c>
      <c r="I101" s="12" t="inlineStr">
        <is>
          <t>mixed by row</t>
        </is>
      </c>
      <c r="J101" s="12" t="inlineStr">
        <is>
          <t>FY2026–2035</t>
        </is>
      </c>
      <c r="K101" s="12" t="inlineStr">
        <is>
          <t>real 2026 dollars</t>
        </is>
      </c>
      <c r="L101" s="12" t="inlineStr">
        <is>
          <t>primary, standalone and overlap-adjusted shown separately</t>
        </is>
      </c>
      <c r="M101" s="12" t="inlineStr">
        <is>
          <t>Internal: 510.1 + 264.7 = 774.8; 245.8 + 138.2 = 384.0; after the overlap, (245.8 − 154.9) + (138.2 − 87.0) = 90.9 + 51.2 = 142.1; 774.8 + 142.1 = 916.9; 163.7 + 35.0 = 198.7. Replaces CE-30, which said different rows are 'not additive' UPDATED October 11, 2026: v17 replaces the orientation exhibit with the sec. 5 table. Rows 1 and 2 still sum to row 3 (510.1 + 264.7 = 774.8; 245.8 + 138.2 = 384.0; 90.9 + 51.2 = 142.1; 601.0 + 315.9 = 916.9). The prohibition on mixing standalone and overlap-adjusted figures is no longer stated as such. CE-68 ledgers the THEIA-derived state and combined figures. Previous wording: 'The orientation exhibit's five quantities measure different things. All five are CMS's figures except the combined −$916.9B, which is [FIRM]'s sum. Rows 1 and 2 are government budget quantities and sum to row 3, provider revenue; row 4 is tax and offsets part of row 3; row 5 is the provider tax rule's result and covers all providers. Standalone and overlap-adjusted figures cannot be mixed'</t>
        </is>
      </c>
      <c r="N101" s="12" t="inlineStr">
        <is>
          <t>verified</t>
        </is>
      </c>
    </row>
    <row r="102" ht="126.75" customHeight="1" s="10">
      <c r="A102" s="12" t="inlineStr">
        <is>
          <t>2. CMS estimates</t>
        </is>
      </c>
      <c r="B102" s="13" t="inlineStr">
        <is>
          <t>CE-51</t>
        </is>
      </c>
      <c r="C102" s="12" t="inlineStr">
        <is>
          <t>The +$21.7B is the provider tax rule's increment, not the two rules' combined effect, which CMS itself calls a significant reduction; CMS's figures cover all providers, with no separate hospital figure</t>
        </is>
      </c>
      <c r="D102" s="12" t="inlineStr">
        <is>
          <t>derived arithmetic - interpretive [I]/[E]</t>
        </is>
      </c>
      <c r="E102" s="12" t="inlineStr">
        <is>
          <t>CMS-2452-P Tables 4, 14</t>
        </is>
      </c>
      <c r="F102" s="12" t="inlineStr">
        <is>
          <t>Table 14, 91 FR 46593 (R0779); 91 FR 30462; 91 FR 46591; note sec. 4, sec. 5</t>
        </is>
      </c>
      <c r="G102" s="12" t="inlineStr">
        <is>
          <t>Note sec. 4; sec. 5</t>
        </is>
      </c>
      <c r="H102" s="12" t="inlineStr">
        <is>
          <t>What population the net provider line covers</t>
        </is>
      </c>
      <c r="I102" s="12" t="inlineStr">
        <is>
          <t>provider aggregate</t>
        </is>
      </c>
      <c r="J102" s="12" t="inlineStr">
        <is>
          <t>FY2026–2035</t>
        </is>
      </c>
      <c r="K102" s="12" t="inlineStr">
        <is>
          <t>real 2026 dollars</t>
        </is>
      </c>
      <c r="L102" s="12" t="inlineStr">
        <is>
          <t>primary, including interaction</t>
        </is>
      </c>
      <c r="M102" s="12" t="inlineStr">
        <is>
          <t>Tax classes per RM-15 (hospitals, MCOs, nursing and intermediate care, all other); no hospital line in either RIA (NC-07, C-7) UPDATED October 11, 2026: v17 words this as an increment and not a hospital figure; the earlier 'does not show that hospitals as a group gain' limb is no longer stated. Hospital attribution: CE-63 and CE-64. Previous wording: 'The +$21.7B is CMS's provider aggregate. CMS does not break it down, and its taxed classes include hospitals, nursing facilities and managed care organizations. It is not a hospital figure, says nothing about how the effect is distributed among providers, and does not show that hospitals as a group gain'</t>
        </is>
      </c>
      <c r="N102" s="12" t="inlineStr">
        <is>
          <t>verified</t>
        </is>
      </c>
    </row>
    <row r="103" ht="32.25" customHeight="1" s="10">
      <c r="A103" s="12" t="inlineStr">
        <is>
          <t>2. CMS estimates</t>
        </is>
      </c>
      <c r="B103" s="13" t="inlineStr">
        <is>
          <t>CE-52</t>
        </is>
      </c>
      <c r="C103" s="12" t="inlineStr">
        <is>
          <t>The provider tax rule's increment runs from a gain to a loss across CMS's scenarios; the two rules stacked reduce provider payments in all three</t>
        </is>
      </c>
      <c r="D103" s="12" t="inlineStr">
        <is>
          <t>derived arithmetic</t>
        </is>
      </c>
      <c r="E103" s="12" t="inlineStr">
        <is>
          <t>CE-18, CE-39, CE-42</t>
        </is>
      </c>
      <c r="F103" s="12" t="inlineStr">
        <is>
          <t>91 FR 46593–46594; 91 FR 30451–30454</t>
        </is>
      </c>
      <c r="G103" s="12" t="inlineStr">
        <is>
          <t>Note Summary of findings; sec. 2.4, caution 4; Figure 5 note</t>
        </is>
      </c>
      <c r="H103" s="12" t="inlineStr">
        <is>
          <t>Sign of the increment and of the stacked figure by scenario</t>
        </is>
      </c>
      <c r="I103" s="12" t="inlineStr">
        <is>
          <t>provider aggregate</t>
        </is>
      </c>
      <c r="J103" s="12" t="inlineStr">
        <is>
          <t>FY2026–2035</t>
        </is>
      </c>
      <c r="K103" s="12" t="inlineStr">
        <is>
          <t>real 2026 dollars</t>
        </is>
      </c>
      <c r="L103" s="12" t="inlineStr">
        <is>
          <t>low / primary / high</t>
        </is>
      </c>
      <c r="M103" s="12" t="inlineStr">
        <is>
          <t>Internal: increment +149.6 / +21.7 / −136.1 (CE-18); stacked −258.8 / −753.2 / −1,125.8 (CE-42, CE-39)</t>
        </is>
      </c>
      <c r="N103" s="12" t="inlineStr">
        <is>
          <t>verified</t>
        </is>
      </c>
    </row>
    <row r="104" ht="168" customHeight="1" s="10">
      <c r="A104" s="12" t="inlineStr">
        <is>
          <t>2. CMS estimates</t>
        </is>
      </c>
      <c r="B104" s="13" t="inlineStr">
        <is>
          <t>CE-53</t>
        </is>
      </c>
      <c r="C104" s="12" t="inlineStr">
        <is>
          <t>Differences of a tenth or two throughout both RIAs come from summing rounded cells; across the two documents the noise floor is 0.3 to 0.4</t>
        </is>
      </c>
      <c r="D104" s="12" t="inlineStr">
        <is>
          <t>derived arithmetic</t>
        </is>
      </c>
      <c r="E104" s="12" t="inlineStr">
        <is>
          <t>Both RIAs</t>
        </is>
      </c>
      <c r="F104" s="12" t="inlineStr">
        <is>
          <t>Note sec. 2.2; worksheet Verification sheet and I-09</t>
        </is>
      </c>
      <c r="G104" s="12" t="inlineStr">
        <is>
          <t>Note sec. 2.2</t>
        </is>
      </c>
      <c r="H104" s="12" t="inlineStr">
        <is>
          <t>Tolerance for sum-of-rounded-cells artifacts</t>
        </is>
      </c>
      <c r="I104" s="12" t="inlineStr">
        <is>
          <t>n/a</t>
        </is>
      </c>
      <c r="J104" s="12" t="inlineStr">
        <is>
          <t>n/a</t>
        </is>
      </c>
      <c r="K104" s="12" t="inlineStr">
        <is>
          <t>real 2026 dollars</t>
        </is>
      </c>
      <c r="L104" s="12" t="inlineStr">
        <is>
          <t>not scenario-dependent</t>
        </is>
      </c>
      <c r="M104" s="12" t="inlineStr">
        <is>
          <t>SUPERSEDED October 11, 2026. v17 no longer states a 0.3 to 0.4 noise floor across the two RIAs. It states two specific rounding differences instead: $163.7B less $142.1B is $21.6B against CMS's +$21.7B, 'rounding in CMS's components' (sec. 5; App. E), and the text-versus-table gaps at CE-25. The 0.35 worksheet floor remains ledger evidence. Removed or reversed by: the revisions between the v9 sync and v17 (the supplied decision log and change map do not identify which revision removed the statement). Replaced by: CE-17 (rounding bridge) and CE-25 (text-versus-table gaps). Original cross-check, retained for the record: Internal: the largest narrative-to-table rounding gaps are 0.3 (264.4 vs 264.7; 258.7 vs 259.0) and 0.4 (339.6 vs 340.0; CE-25). The worksheet uses a 0.35 floor. Footnote 3's 0.4 is not a rounding gap and is excluded. Figure 3's note still says 'roughly 0.3', narrower than sec. 2.2's 0.3 to 0.4. Replaces CE-27</t>
        </is>
      </c>
      <c r="N104" s="12" t="inlineStr">
        <is>
          <t>SUPERSEDED — noise floor no longer stated; rounding stated at CE-17</t>
        </is>
      </c>
    </row>
    <row r="105" ht="126.75" customHeight="1" s="10">
      <c r="A105" s="12" t="inlineStr">
        <is>
          <t>2. CMS estimates</t>
        </is>
      </c>
      <c r="B105" s="13" t="inlineStr">
        <is>
          <t>CE-54</t>
        </is>
      </c>
      <c r="C105" s="12" t="inlineStr">
        <is>
          <t>For the SDP rule, CMS's low-savings and high-savings estimates vary the assumed gaps between commercial, Medicaid and Medicare rates; the Medicaid-to-Medicare and commercial-to-Medicare ratios move together across estimates</t>
        </is>
      </c>
      <c r="D105" s="12" t="inlineStr">
        <is>
          <t>derived arithmetic - interpretive [E]</t>
        </is>
      </c>
      <c r="E105" s="12" t="inlineStr">
        <is>
          <t>CMS-2449-P Tables 14–16</t>
        </is>
      </c>
      <c r="F105" s="12" t="inlineStr">
        <is>
          <t>Tables 14–16, 91 FR 30449–30450; 91 FR 30453–30454; note sec. 3; worksheet Assumptions sheet</t>
        </is>
      </c>
      <c r="G105" s="12" t="inlineStr">
        <is>
          <t>Note sec. 3</t>
        </is>
      </c>
      <c r="H105" s="12" t="inlineStr">
        <is>
          <t>Which assumptions move together across scenarios</t>
        </is>
      </c>
      <c r="I105" s="12" t="inlineStr">
        <is>
          <t>n/a</t>
        </is>
      </c>
      <c r="J105" s="12" t="inlineStr">
        <is>
          <t>n/a</t>
        </is>
      </c>
      <c r="K105" s="12" t="inlineStr">
        <is>
          <t>ratios</t>
        </is>
      </c>
      <c r="L105" s="12" t="inlineStr">
        <is>
          <t>low / primary / high</t>
        </is>
      </c>
      <c r="M105" s="12" t="inlineStr">
        <is>
          <t>Worksheet Assumptions: Medicaid relative to Medicare is 1.0 low, 0.9 primary and 0.8 high for inpatient and outpatient, moving with the commercial ratios at CE-26. CE-26 and D-6 updated accordingly UPDATED October 11, 2026: v17 states only that the estimates 'vary the assumed gaps between commercial, Medicaid and Medicare rates'. The earlier conclusion that the scenario range cannot be attributed to either set alone is no longer stated (the former gap 3 and item 1 are gone); the worksheet result is unchanged. Previous wording: 'CMS's scenarios vary commercial-to-Medicare and Medicaid-to-Medicare price ratios together; the SDP rule's scenario range cannot be attributed to either set alone'</t>
        </is>
      </c>
      <c r="N105" s="12" t="inlineStr">
        <is>
          <t>verified - against the worksheet's Assumptions sheet</t>
        </is>
      </c>
    </row>
    <row r="106" ht="42.75" customHeight="1" s="10">
      <c r="A106" s="12" t="inlineStr">
        <is>
          <t>2. CMS estimates</t>
        </is>
      </c>
      <c r="B106" s="13" t="inlineStr">
        <is>
          <t>CE-55</t>
        </is>
      </c>
      <c r="C106" s="12" t="inlineStr">
        <is>
          <t>CMS's own narrative describes the $384.0B payment reduction as 'shown in table 12', although it appears in Table 11 and Table 12's provider line is the net −$220.3B; that wording may explain HFMA's reading</t>
        </is>
      </c>
      <c r="D106" s="12" t="inlineStr">
        <is>
          <t>CMS estimate (wording) + interpretive</t>
        </is>
      </c>
      <c r="E106" s="12" t="inlineStr">
        <is>
          <t>CMS-2452-P narrative</t>
        </is>
      </c>
      <c r="F106" s="12" t="inlineStr">
        <is>
          <t>91 FR 46592; R1009</t>
        </is>
      </c>
      <c r="G106" s="12" t="inlineStr">
        <is>
          <t>"Excluding the impacts of the SDP rule, we project that the Federal government and States would pay providers $384.0 billion less from 2026 through 2035 (as shown in table 12)"</t>
        </is>
      </c>
      <c r="H106" s="12" t="inlineStr">
        <is>
          <t>A CMS cross-reference that points to the wrong table</t>
        </is>
      </c>
      <c r="I106" s="12" t="inlineStr">
        <is>
          <t>provider aggregate</t>
        </is>
      </c>
      <c r="J106" s="12" t="inlineStr">
        <is>
          <t>FY2026–2035</t>
        </is>
      </c>
      <c r="K106" s="12" t="inlineStr">
        <is>
          <t>real 2026 dollars</t>
        </is>
      </c>
      <c r="L106" s="12" t="inlineStr">
        <is>
          <t>primary, excluding interaction</t>
        </is>
      </c>
      <c r="M106" s="12" t="inlineStr">
        <is>
          <t>Quotation confirmed verbatim at R1009. Table 11 total −384.0 (R0669); Table 12 providers −220.3 (R0702). 'May explain the reading' is interpretive</t>
        </is>
      </c>
      <c r="N106" s="12" t="inlineStr">
        <is>
          <t>verified - quotation confirmed against the worksheet; the explanatory limb is interpretive</t>
        </is>
      </c>
    </row>
    <row r="107" ht="168" customHeight="1" s="10">
      <c r="A107" s="12" t="inlineStr">
        <is>
          <t>2. CMS estimates</t>
        </is>
      </c>
      <c r="B107" s="13" t="inlineStr">
        <is>
          <t>CE-56</t>
        </is>
      </c>
      <c r="C107" s="12" t="inlineStr">
        <is>
          <t>The SDP rule prices Section 71116 (Tables 18–20) and its extension to other services separately</t>
        </is>
      </c>
      <c r="D107" s="12" t="inlineStr">
        <is>
          <t>CMS estimate [E]</t>
        </is>
      </c>
      <c r="E107" s="12" t="inlineStr">
        <is>
          <t>CMS-2449-P RIA</t>
        </is>
      </c>
      <c r="F107" s="12" t="inlineStr">
        <is>
          <t>Tables 18–20, 91 FR 30451–30452; extension 91 FR 30453; note sec. 3 (first paragraph)</t>
        </is>
      </c>
      <c r="G107" s="12" t="inlineStr">
        <is>
          <t>Note sec. 3</t>
        </is>
      </c>
      <c r="H107" s="12" t="inlineStr">
        <is>
          <t>Separation of statute-required and CMS-added SDP effects</t>
        </is>
      </c>
      <c r="I107" s="12" t="inlineStr">
        <is>
          <t>total computable</t>
        </is>
      </c>
      <c r="J107" s="12" t="inlineStr">
        <is>
          <t>FY2026–2035 (Tables 18–20); FY2029–2035 (extension)</t>
        </is>
      </c>
      <c r="K107" s="12" t="inlineStr">
        <is>
          <t>real 2026 dollars</t>
        </is>
      </c>
      <c r="L107" s="12" t="inlineStr">
        <is>
          <t>central</t>
        </is>
      </c>
      <c r="M107" s="12" t="inlineStr">
        <is>
          <t>Tables 18–20 are ledgered at CE-01 to CE-03 (captions frame each estimate as the impact of limiting SDPs under Section 71116, CE-43); the extension at CE-06 (−$5.34B). Both pinpoints were read from the Federal Register text in the new-text check and are not confirmed by the Citation check or a verification row. Replaces the v9 statement that neither rule separates what the statute requires from what CMS added (CE-43, narrowed). VERIFIED October 13, 2026 (verification_v4_log.md): Tables 18, 19 and 20 are images; their captions were read from the page images and OCR of the CMS-2449-P, govinfo PDF (FR Doc. 2026-10292): each is the impact 'of limiting SDPs under section 71116 of the WFTC legislation by year'. The extension is priced separately in the text and Table 21 at 91 FR 30453 ('other services not described in section 71116').</t>
        </is>
      </c>
      <c r="N107" s="12" t="inlineStr">
        <is>
          <t>verified — upgraded from single-source: re-checked October 13, 2026: Tables 18–20 captions (91 FR 30451–30452) and Table 21 with its text (91 FR 30453) match.</t>
        </is>
      </c>
    </row>
    <row r="108" ht="95.25" customHeight="1" s="10">
      <c r="A108" s="12" t="inlineStr">
        <is>
          <t>2. CMS estimates</t>
        </is>
      </c>
      <c r="B108" s="13" t="inlineStr">
        <is>
          <t>CE-57</t>
        </is>
      </c>
      <c r="C108" s="12" t="inlineStr">
        <is>
          <t>CMS labels the SDP rule's year columns in Tables 18–20 as fiscal years, without saying federal or state; the rule's one-year base for SDPs is federal fiscal year 2025</t>
        </is>
      </c>
      <c r="D108" s="12" t="inlineStr">
        <is>
          <t>CMS estimate (wording) [E]</t>
        </is>
      </c>
      <c r="E108" s="12" t="inlineStr">
        <is>
          <t>CMS-2449-P RIA</t>
        </is>
      </c>
      <c r="F108" s="12" t="inlineStr">
        <is>
          <t>91 FR 30451–30452 (year columns); 91 FR 30447 (FFY2025 base); note sec. 3, App. F ('Draft note, year basis')</t>
        </is>
      </c>
      <c r="G108" s="12" t="inlineStr">
        <is>
          <t>Note sec. 3; App. F</t>
        </is>
      </c>
      <c r="H108" s="12" t="inlineStr">
        <is>
          <t>The year basis of the SDP rule's ten-year window</t>
        </is>
      </c>
      <c r="I108" s="12" t="inlineStr">
        <is>
          <t>total computable</t>
        </is>
      </c>
      <c r="J108" s="12" t="inlineStr">
        <is>
          <t>2026–2035</t>
        </is>
      </c>
      <c r="K108" s="12" t="inlineStr">
        <is>
          <t>real 2026 dollars</t>
        </is>
      </c>
      <c r="L108" s="12" t="inlineStr">
        <is>
          <t>central</t>
        </is>
      </c>
      <c r="M108" s="12" t="inlineStr">
        <is>
          <t>The FFY2025 base is confirmed at 91 FR 30447 (Citation check: the year ending September 30, 2025; RM-11). The label of the year columns was read from the page images in the new-text check; the Citation check read the tables from the page images but did not record the column label. Feeds CE-59. VERIFIED October 13, 2026 (verification_v4_log.md): page images and OCR of 91 FR 30451–30452 (CMS-2449-P, govinfo PDF (FR Doc. 2026-10292)): the first column of Tables 18, 19 and 20 is headed 'Fiscal Year'; neither page's OCR text contains 'federal fiscal' or 'state fiscal'. 91 FR 30447: SDPs paid in FFY 2025 ($143.8 billion), matched by script.</t>
        </is>
      </c>
      <c r="N108" s="12" t="inlineStr">
        <is>
          <t>verified — upgraded from single-source: re-checked October 13, 2026: Tables 18–20 head their year column 'Fiscal Year' (91 FR 30451–30452), with no federal or state label; FFY 2025 base at 91 FR 30447.</t>
        </is>
      </c>
    </row>
    <row r="109" ht="84.75" customHeight="1" s="10">
      <c r="A109" s="12" t="inlineStr">
        <is>
          <t>2. CMS estimates</t>
        </is>
      </c>
      <c r="B109" s="13" t="inlineStr">
        <is>
          <t>CE-58</t>
        </is>
      </c>
      <c r="C109" s="12" t="inlineStr">
        <is>
          <t>The provider tax rule gives its $98.6B for calendar year 2026 and says its freeze, which begins October 1, 2026, reduces projected revenue in 2026</t>
        </is>
      </c>
      <c r="D109" s="12" t="inlineStr">
        <is>
          <t>CMS estimate (wording) [E]</t>
        </is>
      </c>
      <c r="E109" s="12" t="inlineStr">
        <is>
          <t>CMS-2452-P RIA</t>
        </is>
      </c>
      <c r="F109" s="12" t="inlineStr">
        <is>
          <t>91 FR 46589; note sec. 3 (year-basis sentence), App. F ('Draft note, year basis')</t>
        </is>
      </c>
      <c r="G109" s="12" t="inlineStr">
        <is>
          <t>Note sec. 3; App. F</t>
        </is>
      </c>
      <c r="H109" s="12" t="inlineStr">
        <is>
          <t>The year basis of the provider tax rule's figures</t>
        </is>
      </c>
      <c r="I109" s="12" t="inlineStr">
        <is>
          <t>state only</t>
        </is>
      </c>
      <c r="J109" s="12" t="inlineStr">
        <is>
          <t>CY2026</t>
        </is>
      </c>
      <c r="K109" s="12" t="inlineStr">
        <is>
          <t>unstated</t>
        </is>
      </c>
      <c r="L109" s="12" t="inlineStr">
        <is>
          <t>central</t>
        </is>
      </c>
      <c r="M109" s="12" t="inlineStr">
        <is>
          <t>The $98.6B and its class detail are ledgered at RM-14 and RM-15 (R1002–R1004). The calendar-year label and the October 1, 2026 freeze start are pinpoints from the new-text check. Feeds CE-59. VERIFIED October 13, 2026 (verification_v4_log.md): 91 FR 46589 read in the CMS-2452-P, govinfo PDF (FR Doc. 2026-14897); the calendar-year label, the October 1, 2026 freeze start and the 2026 reduction match by script.</t>
        </is>
      </c>
      <c r="N109" s="12" t="inlineStr">
        <is>
          <t>verified — upgraded from single-source: re-checked October 13, 2026: 91 FR 46589 matches ($98.6 billion for calendar year 2026; the freeze would begin October 1, 2026 and reduces projected revenue by $2.3 billion in 2026).</t>
        </is>
      </c>
    </row>
    <row r="110" ht="84.75" customHeight="1" s="10">
      <c r="A110" s="12" t="inlineStr">
        <is>
          <t>2. CMS estimates</t>
        </is>
      </c>
      <c r="B110" s="13" t="inlineStr">
        <is>
          <t>CE-59</t>
        </is>
      </c>
      <c r="C110" s="12" t="inlineStr">
        <is>
          <t>CMS does not say whether its 2026–2035 are federal fiscal years, state fiscal years or calendar years, and neither rule says whether the two bases match. A freeze starting October 1, 2026 could not reduce revenue in federal fiscal year 2026, so the provider tax rule's 2026 is probably not a federal fiscal year; the windows THEIA Services adds may be offset by a few months, and CBO's are federal fiscal years. THEIA Services sums the figures as published</t>
        </is>
      </c>
      <c r="D110" s="12" t="inlineStr">
        <is>
          <t>derived arithmetic - interpretive [I]</t>
        </is>
      </c>
      <c r="E110" s="12" t="inlineStr">
        <is>
          <t>[FIRM]</t>
        </is>
      </c>
      <c r="F110" s="12" t="inlineStr">
        <is>
          <t>Note sec. 3 (year-basis sentence); App. F ('Draft note, year basis')</t>
        </is>
      </c>
      <c r="G110" s="12" t="inlineStr">
        <is>
          <t>Note sec. 3; App. F</t>
        </is>
      </c>
      <c r="H110" s="12" t="inlineStr">
        <is>
          <t>Comparability of the two rules' windows with each other and with CBO's</t>
        </is>
      </c>
      <c r="I110" s="12" t="inlineStr">
        <is>
          <t>both rules; CBO</t>
        </is>
      </c>
      <c r="J110" s="12" t="inlineStr">
        <is>
          <t>2026–2035 (CMS); FY2025–2034 (CBO)</t>
        </is>
      </c>
      <c r="K110" s="12" t="inlineStr">
        <is>
          <t>n/a</t>
        </is>
      </c>
      <c r="L110" s="12" t="inlineStr">
        <is>
          <t>not scenario-dependent</t>
        </is>
      </c>
      <c r="M110" s="12" t="inlineStr">
        <is>
          <t>Reasoning from CE-57 and CE-58: a fiscal-year column in one rule against a calendar-year figure in the other. Inherits the pinpoint status of both. Explains why SB-26 treats year bases as a possible further difference.</t>
        </is>
      </c>
      <c r="N110" s="12" t="inlineStr">
        <is>
          <t>verified as inference — rests on CE-57 and CE-58, whose pinpoints are unconfirmed</t>
        </is>
      </c>
    </row>
    <row r="111" ht="42.75" customHeight="1" s="10">
      <c r="A111" s="12" t="inlineStr">
        <is>
          <t>2. CMS estimates</t>
        </is>
      </c>
      <c r="B111" s="13" t="inlineStr">
        <is>
          <t>CE-60</t>
        </is>
      </c>
      <c r="C111" s="12" t="inlineStr">
        <is>
          <t>The SDP rule's fee-for-service estimates state no baseline</t>
        </is>
      </c>
      <c r="D111" s="12" t="inlineStr">
        <is>
          <t>CMS estimate (baseline) [I]</t>
        </is>
      </c>
      <c r="E111" s="12" t="inlineStr">
        <is>
          <t>CMS-2449-P RIA</t>
        </is>
      </c>
      <c r="F111" s="12" t="inlineStr">
        <is>
          <t>91 FR 30455; note sec. 3</t>
        </is>
      </c>
      <c r="G111" s="12" t="inlineStr">
        <is>
          <t>Note sec. 3</t>
        </is>
      </c>
      <c r="H111" s="12" t="inlineStr">
        <is>
          <t>Absence of a stated baseline for the FFS estimates</t>
        </is>
      </c>
      <c r="I111" s="12" t="inlineStr">
        <is>
          <t>FFS targeted-payment estimates (CE-05)</t>
        </is>
      </c>
      <c r="J111" s="12" t="inlineStr">
        <is>
          <t>FY2029–2035</t>
        </is>
      </c>
      <c r="K111" s="12" t="inlineStr">
        <is>
          <t>real 2026 dollars</t>
        </is>
      </c>
      <c r="L111" s="12" t="inlineStr">
        <is>
          <t>central</t>
        </is>
      </c>
      <c r="M111" s="12" t="inlineStr">
        <is>
          <t>Round 3 item 1: NOT FOUND for the FFS supplemental-payment estimates; 91 FR 30455 says only that they are 'based on forecasted growth of Medicaid FFS spending'. Contrast the SDP estimates, confirmed at 91 FR 30447 (CE-43).</t>
        </is>
      </c>
      <c r="N111" s="12" t="inlineStr">
        <is>
          <t>verified as scoped — Round 3 item 1</t>
        </is>
      </c>
    </row>
    <row r="112" ht="95.25" customHeight="1" s="10">
      <c r="A112" s="12" t="inlineStr">
        <is>
          <t>2. CMS estimates</t>
        </is>
      </c>
      <c r="B112" s="13" t="inlineStr">
        <is>
          <t>CE-61</t>
        </is>
      </c>
      <c r="C112" s="12" t="inlineStr">
        <is>
          <t>CMS publishes a central estimate (its primary scenario) and low-savings and high-savings estimates for each rule, and applies each set of assumptions nationally, so the estimates express uncertainty about national averages; THEIA Services found no basis for assigning any state to one scenario</t>
        </is>
      </c>
      <c r="D112" s="12" t="inlineStr">
        <is>
          <t>CMS estimate [E]/[I]</t>
        </is>
      </c>
      <c r="E112" s="12" t="inlineStr">
        <is>
          <t>CMS-2449-P; CMS-2452-P</t>
        </is>
      </c>
      <c r="F112" s="12" t="inlineStr">
        <is>
          <t>91 FR 30453–30454; 91 FR 46591–46594; note sec. 3</t>
        </is>
      </c>
      <c r="G112" s="12" t="inlineStr">
        <is>
          <t>Note sec. 3</t>
        </is>
      </c>
      <c r="H112" s="12" t="inlineStr">
        <is>
          <t>How CMS's scenarios are applied</t>
        </is>
      </c>
      <c r="I112" s="12" t="inlineStr">
        <is>
          <t>both rules; national</t>
        </is>
      </c>
      <c r="J112" s="12" t="inlineStr">
        <is>
          <t>FY2026–2035</t>
        </is>
      </c>
      <c r="K112" s="12" t="inlineStr">
        <is>
          <t>real 2026 dollars</t>
        </is>
      </c>
      <c r="L112" s="12" t="inlineStr">
        <is>
          <t>central / low-savings / high-savings</t>
        </is>
      </c>
      <c r="M112" s="12" t="inlineStr">
        <is>
          <t>The existence of the three estimates per rule is ledgered at CE-04 and CE-32. 'Applied nationally' and the cite to 91 FR 30453–30454 and 46591–46594 come from the new-text check. The final clause is an [I] negative reading. CORRECTED October 13, 2026 (verification_v4_log.md): searched 91 FR 30453–30454 and 46591–46594 (CMS-2449-P, govinfo PDF (FR Doc. 2026-10292); CMS-2452-P, govinfo PDF (FR Doc. 2026-14897)) by script: no form of 'nation' appears. CMS states each scenario's assumptions as single values with no state-specific values (30453–30454; 46593–46594), which supports the reading, but CMS does not say it. The scenario descriptions are at 46593–46594, not 46591–46592 (central estimate).</t>
        </is>
      </c>
      <c r="N112" s="12" t="inlineStr">
        <is>
          <t>corrected — none of 91 FR 30453–30454 or 46591–46594 says the assumptions are applied nationally. CMS gives the SDP rule's scenarios' purpose: “we have developed low and high scenarios to account for the potential differences in relative prices” (91 FR 30453); for the provider tax rule, to show a range of possible impacts (91 FR 46593). v17 must retag 'applies each set of assumptions nationally' as THEIA Services' reading [I] (see verification_v4_log.md). Base status was single-source.</t>
        </is>
      </c>
    </row>
    <row r="113" ht="63.75" customHeight="1" s="10">
      <c r="A113" s="12" t="inlineStr">
        <is>
          <t>2. CMS estimates</t>
        </is>
      </c>
      <c r="B113" s="13" t="inlineStr">
        <is>
          <t>CE-62</t>
        </is>
      </c>
      <c r="C113" s="12" t="inlineStr">
        <is>
          <t>For the provider tax rule, CMS states the 30 percent offset immediately before its $384.0B total, splits the $142.1B and $241.9B from that total and prints no total before the offset; THEIA Services reads all three figures as net of the offset, which CMS does not say in words</t>
        </is>
      </c>
      <c r="D113" s="12" t="inlineStr">
        <is>
          <t>CMS estimate (wording) + interpretive [E]/[I]</t>
        </is>
      </c>
      <c r="E113" s="12" t="inlineStr">
        <is>
          <t>CMS-2452-P RIA</t>
        </is>
      </c>
      <c r="F113" s="12" t="inlineStr">
        <is>
          <t>91 FR 46591–46592; note sec. 3</t>
        </is>
      </c>
      <c r="G113" s="12" t="inlineStr">
        <is>
          <t>Note sec. 3</t>
        </is>
      </c>
      <c r="H113" s="12" t="inlineStr">
        <is>
          <t>Whether CMS's central totals are before or after the state offset</t>
        </is>
      </c>
      <c r="I113" s="12" t="inlineStr">
        <is>
          <t>provider aggregate; total computable</t>
        </is>
      </c>
      <c r="J113" s="12" t="inlineStr">
        <is>
          <t>FY2026–2035</t>
        </is>
      </c>
      <c r="K113" s="12" t="inlineStr">
        <is>
          <t>real 2026 dollars</t>
        </is>
      </c>
      <c r="L113" s="12" t="inlineStr">
        <is>
          <t>central</t>
        </is>
      </c>
      <c r="M113" s="12" t="inlineStr">
        <is>
          <t>Round 2 reading (F-007): at 46591 the sentence assuming a 30 percent offset comes directly before the projection of $245.8B federal and $138.2B state, a total of $384.0B (Table 11); at 46592 CMS splits it into $142.1B and $241.9B; CMS prints no pre-offset total and never says 'net of the offset' in words. See CE-32.</t>
        </is>
      </c>
      <c r="N113" s="12" t="inlineStr">
        <is>
          <t>verified with caveat — placement confirmed on CMS's text; the net-of-offset reading is [I]</t>
        </is>
      </c>
    </row>
    <row r="114" ht="84.75" customHeight="1" s="10">
      <c r="A114" s="12" t="inlineStr">
        <is>
          <t>2. CMS estimates</t>
        </is>
      </c>
      <c r="B114" s="13" t="inlineStr">
        <is>
          <t>CE-63</t>
        </is>
      </c>
      <c r="C114" s="12" t="inlineStr">
        <is>
          <t>CMS describes the SDP rule's reductions as falling on providers and other entities, such as local governments that reimburse providers for uncompensated care, and expects most of them to fall on hospitals; on the same page it says it lacks the data to attribute the impacts reliably to provider types, because SDPs are optional for states and their effects on providers are indirect</t>
        </is>
      </c>
      <c r="D114" s="12" t="inlineStr">
        <is>
          <t>CMS estimate (wording) [E]</t>
        </is>
      </c>
      <c r="E114" s="12" t="inlineStr">
        <is>
          <t>CMS-2449-P RIA</t>
        </is>
      </c>
      <c r="F114" s="12" t="inlineStr">
        <is>
          <t>91 FR 30462; note sec. 3, sec. 4</t>
        </is>
      </c>
      <c r="G114" s="12" t="inlineStr">
        <is>
          <t>Note sec. 3</t>
        </is>
      </c>
      <c r="H114" s="12" t="inlineStr">
        <is>
          <t>CMS's own limits on attributing the SDP rule's reductions</t>
        </is>
      </c>
      <c r="I114" s="12" t="inlineStr">
        <is>
          <t>provider aggregate</t>
        </is>
      </c>
      <c r="J114" s="12" t="inlineStr">
        <is>
          <t>FY2026–2035</t>
        </is>
      </c>
      <c r="K114" s="12" t="inlineStr">
        <is>
          <t>n/a</t>
        </is>
      </c>
      <c r="L114" s="12" t="inlineStr">
        <is>
          <t>not scenario-dependent</t>
        </is>
      </c>
      <c r="M114" s="12" t="inlineStr">
        <is>
          <t>Verification F-012: confirmed on both readings at 91 FR 30462 ('The majority of these projected reductions would be for hospitals'; the RFA paragraph on the same page says CMS lacks data to 'reliably attribute or disaggregate these impacts to specific provider types'). The 'other entities, such as local governments' and 'optional for states … indirect' wording was not separately matched in the verification summary. This is why no CMS hospital figure exists (NC-07).</t>
        </is>
      </c>
      <c r="N114" s="12" t="inlineStr">
        <is>
          <t>verified with caveat — both hospital readings confirmed at 91 FR 30462; the local-government and indirect-effects wording not separately matched</t>
        </is>
      </c>
    </row>
    <row r="115" ht="95.25" customHeight="1" s="10">
      <c r="A115" s="12" t="inlineStr">
        <is>
          <t>2. CMS estimates</t>
        </is>
      </c>
      <c r="B115" s="13" t="inlineStr">
        <is>
          <t>CE-64</t>
        </is>
      </c>
      <c r="C115" s="12" t="inlineStr">
        <is>
          <t>For the provider tax rule, CMS expects the largest decreases to fall on hospitals</t>
        </is>
      </c>
      <c r="D115" s="12" t="inlineStr">
        <is>
          <t>CMS estimate (wording) [E]</t>
        </is>
      </c>
      <c r="E115" s="12" t="inlineStr">
        <is>
          <t>CMS-2452-P RIA</t>
        </is>
      </c>
      <c r="F115" s="12" t="inlineStr">
        <is>
          <t>91 FR 46591; note sec. 4</t>
        </is>
      </c>
      <c r="G115" s="12" t="inlineStr">
        <is>
          <t>Note sec. 4</t>
        </is>
      </c>
      <c r="H115" s="12" t="inlineStr">
        <is>
          <t>Where CMS expects the provider tax rule's decreases to fall</t>
        </is>
      </c>
      <c r="I115" s="12" t="inlineStr">
        <is>
          <t>provider aggregate</t>
        </is>
      </c>
      <c r="J115" s="12" t="inlineStr">
        <is>
          <t>FY2026–2035</t>
        </is>
      </c>
      <c r="K115" s="12" t="inlineStr">
        <is>
          <t>n/a</t>
        </is>
      </c>
      <c r="L115" s="12" t="inlineStr">
        <is>
          <t>not scenario-dependent</t>
        </is>
      </c>
      <c r="M115" s="12" t="inlineStr">
        <is>
          <t>Pinpoint read from the Federal Register text in the new-text check; not matched in the verification files. Supports, but does not quantify, the hospital share of the $163.7B (CE-65). VERIFIED October 13, 2026 (verification_v4_log.md): 91 FR 46591 read in the CMS-2452-P, govinfo PDF (FR Doc. 2026-14897): CMS expects the largest decreases in Medicaid payments to hospitals because hospital taxes are the majority of provider tax revenue; matched by script. CMS gives no hospital figure.</t>
        </is>
      </c>
      <c r="N115" s="12" t="inlineStr">
        <is>
          <t>verified — upgraded from single-source: re-checked October 13, 2026: 91 FR 46591 matches (largest decreases expected in payments to hospitals).</t>
        </is>
      </c>
    </row>
    <row r="116" ht="53.25" customHeight="1" s="10">
      <c r="A116" s="12" t="inlineStr">
        <is>
          <t>2. CMS estimates</t>
        </is>
      </c>
      <c r="B116" s="13" t="inlineStr">
        <is>
          <t>CE-65</t>
        </is>
      </c>
      <c r="C116" s="12" t="inlineStr">
        <is>
          <t>Hospitals are projected to pay $61.8B of the $98.6B in provider taxes in calendar year 2026 (Table 4); if that one-year share held for the decade, hospitals would also receive most of step 2's $163.7B in tax relief, an allocation that is THEIA Services' assumption, not CMS's</t>
        </is>
      </c>
      <c r="D116" s="12" t="inlineStr">
        <is>
          <t>derived arithmetic - assumption [E]/[I]</t>
        </is>
      </c>
      <c r="E116" s="12" t="inlineStr">
        <is>
          <t>CMS-2452-P Table 4; [FIRM]</t>
        </is>
      </c>
      <c r="F116" s="12" t="inlineStr">
        <is>
          <t>Table 4, 91 FR 46589 (R1004); note sec. 4</t>
        </is>
      </c>
      <c r="G116" s="12" t="inlineStr">
        <is>
          <t>Note sec. 4</t>
        </is>
      </c>
      <c r="H116" s="12" t="inlineStr">
        <is>
          <t>Hospital share of provider taxes, and the assumption that it carries to the ten-year relief</t>
        </is>
      </c>
      <c r="I116" s="12" t="inlineStr">
        <is>
          <t>hospitals; provider tax classes</t>
        </is>
      </c>
      <c r="J116" s="12" t="inlineStr">
        <is>
          <t>CY2026; FY2026–2035 (assumed)</t>
        </is>
      </c>
      <c r="K116" s="12" t="inlineStr">
        <is>
          <t>unstated; real 2026 dollars</t>
        </is>
      </c>
      <c r="L116" s="12" t="inlineStr">
        <is>
          <t>central</t>
        </is>
      </c>
      <c r="M116" s="12" t="inlineStr">
        <is>
          <t>Internal: 61.8 / 98.6 = 62.7%, 'most'. The ledger and the note both label the carry-over an assumption; CMS says it cannot attribute the SDP rule's impacts by provider type (CE-63). Decision log decision 3 keeps the sentence with the assumption disclosed.</t>
        </is>
      </c>
      <c r="N116" s="12" t="inlineStr">
        <is>
          <t>verified as assumption — the Table 4 figures are verified (RM-15); the ten-year allocation is THEIA's</t>
        </is>
      </c>
    </row>
    <row r="117" ht="53.25" customHeight="1" s="10">
      <c r="A117" s="12" t="inlineStr">
        <is>
          <t>2. CMS estimates</t>
        </is>
      </c>
      <c r="B117" s="13" t="inlineStr">
        <is>
          <t>CE-66</t>
        </is>
      </c>
      <c r="C117" s="12" t="inlineStr">
        <is>
          <t>Right after its +$21.7B figure for the provider tax rule, CMS says that, taken together, the two proposed rules would on net still leave Medicaid paying providers significantly less over time; the statement is qualitative and gives no combined figure</t>
        </is>
      </c>
      <c r="D117" s="12" t="inlineStr">
        <is>
          <t>CMS estimate (wording) [E]/[I]</t>
        </is>
      </c>
      <c r="E117" s="12" t="inlineStr">
        <is>
          <t>CMS-2452-P RIA</t>
        </is>
      </c>
      <c r="F117" s="12" t="inlineStr">
        <is>
          <t>91 FR 46593 (sec. V, RIA; C.3, after Table 14); note sec. 4, executive summary</t>
        </is>
      </c>
      <c r="G117" s="12" t="inlineStr">
        <is>
          <t>'would still be a significant reduction to provider payments through Medicaid over time'</t>
        </is>
      </c>
      <c r="H117" s="12" t="inlineStr">
        <is>
          <t>CMS's own statement about the two rules' combined effect</t>
        </is>
      </c>
      <c r="I117" s="12" t="inlineStr">
        <is>
          <t>provider aggregate</t>
        </is>
      </c>
      <c r="J117" s="12" t="inlineStr">
        <is>
          <t>over time</t>
        </is>
      </c>
      <c r="K117" s="12" t="inlineStr">
        <is>
          <t>n/a</t>
        </is>
      </c>
      <c r="L117" s="12" t="inlineStr">
        <is>
          <t>not scenario-dependent</t>
        </is>
      </c>
      <c r="M117" s="12" t="inlineStr">
        <is>
          <t>Verification F-011: confirmed at 91 FR 46593. Round 3 notes CMS repeats the point for the low-savings estimate at 91 FR 46594 (still on the citation-to-add list). 'Qualitative and gives no combined figure' is v17's [I] reading; the statement does not confirm THEIA's range.</t>
        </is>
      </c>
      <c r="N117" s="12" t="inlineStr">
        <is>
          <t>verified — F-011</t>
        </is>
      </c>
    </row>
    <row r="118" ht="95.25" customHeight="1" s="10">
      <c r="A118" s="12" t="inlineStr">
        <is>
          <t>2. CMS estimates</t>
        </is>
      </c>
      <c r="B118" s="13" t="inlineStr">
        <is>
          <t>CE-67</t>
        </is>
      </c>
      <c r="C118" s="12" t="inlineStr">
        <is>
          <t>CMS shows states only as a net loss: $147.5B counting the SDP rule (CMS-2452-P Table 19, 91 FR 46596) and $60.5B for the provider tax rule alone (Table 12); each equals the state reduction ($51.2B or $138.2B) less the $198.7B in lost provider tax collections</t>
        </is>
      </c>
      <c r="D118" s="12" t="inlineStr">
        <is>
          <t>CMS estimate [E] + derived arithmetic [I]</t>
        </is>
      </c>
      <c r="E118" s="12" t="inlineStr">
        <is>
          <t>CMS-2452-P Tables 12, 14, 19</t>
        </is>
      </c>
      <c r="F118" s="12" t="inlineStr">
        <is>
          <t>Table 19 (accounting statement), 91 FR 46596; Table 12, 91 FR 46592; note sec. 3, sec. 5 table</t>
        </is>
      </c>
      <c r="G118" s="12" t="inlineStr">
        <is>
          <t>Note sec. 3</t>
        </is>
      </c>
      <c r="H118" s="12" t="inlineStr">
        <is>
          <t>States' net transfer, with and without the SDP rule's interaction</t>
        </is>
      </c>
      <c r="I118" s="12" t="inlineStr">
        <is>
          <t>states</t>
        </is>
      </c>
      <c r="J118" s="12" t="inlineStr">
        <is>
          <t>2026–2035</t>
        </is>
      </c>
      <c r="K118" s="12" t="inlineStr">
        <is>
          <t>real 2026 dollars</t>
        </is>
      </c>
      <c r="L118" s="12" t="inlineStr">
        <is>
          <t>central</t>
        </is>
      </c>
      <c r="M118" s="12" t="inlineStr">
        <is>
          <t>Round 2 (91 FR 46596, read from the page image): the accounting statement reports one net transfer, −$147.5B to states over 2026–2035 including the interaction, defined as lower payments to providers plus lower provider-tax payments to states; annualized −$13,159M (7 percent) and −$14,056M (3 percent), medium case. The statement does not show $198.7B or $51.2B. Internal: 138.2 − 198.7 = −60.5 and 51.2 − 198.7 = −147.5, both exact (CE-10, CE-11). $51.2B is not printed by CMS (CE-68).</t>
        </is>
      </c>
      <c r="N118" s="12" t="inlineStr">
        <is>
          <t>verified</t>
        </is>
      </c>
    </row>
    <row r="119" ht="53.25" customHeight="1" s="10">
      <c r="A119" s="12" t="inlineStr">
        <is>
          <t>2. CMS estimates</t>
        </is>
      </c>
      <c r="B119" s="13" t="inlineStr">
        <is>
          <t>CE-68</t>
        </is>
      </c>
      <c r="C119" s="12" t="inlineStr">
        <is>
          <t>The provider tax rule's additional state cut after the overlap is $51.2B ($138.2B − $87.0B), the two rules' combined state reduction is $315.9B ($264.7B + $51.2B) and their combined federal reduction is $601.0B ($510.1B + $90.9B); CMS prints none of the three</t>
        </is>
      </c>
      <c r="D119" s="12" t="inlineStr">
        <is>
          <t>derived arithmetic [I]</t>
        </is>
      </c>
      <c r="E119" s="12" t="inlineStr">
        <is>
          <t>CMS-2449-P Tables 19, 20; CMS-2452-P Tables 11, 14</t>
        </is>
      </c>
      <c r="F119" s="12" t="inlineStr">
        <is>
          <t>91 FR 30452; 91 FR 46591–46593; note sec. 3 (table and source note), sec. 5 table</t>
        </is>
      </c>
      <c r="G119" s="12" t="inlineStr">
        <is>
          <t>Note sec. 3 table</t>
        </is>
      </c>
      <c r="H119" s="12" t="inlineStr">
        <is>
          <t>THEIA-derived state and combined government figures</t>
        </is>
      </c>
      <c r="I119" s="12" t="inlineStr">
        <is>
          <t>federal; state</t>
        </is>
      </c>
      <c r="J119" s="12" t="inlineStr">
        <is>
          <t>FY2026–2035</t>
        </is>
      </c>
      <c r="K119" s="12" t="inlineStr">
        <is>
          <t>real 2026 dollars</t>
        </is>
      </c>
      <c r="L119" s="12" t="inlineStr">
        <is>
          <t>central, overlap-adjusted</t>
        </is>
      </c>
      <c r="M119" s="12" t="inlineStr">
        <is>
          <t>Internal: 138.2 − 87.0 = 51.2; 264.7 + 51.2 = 315.9; 510.1 + 90.9 = 601.0; 601.0 + 315.9 = 916.9 (CE-38); 90.9 + 51.2 = 142.1 (CE-16). The $601.0B is confirmed on CMS's tables (F-015); $51.2B is not printed by CMS (Round 2).</t>
        </is>
      </c>
      <c r="N119" s="12" t="inlineStr">
        <is>
          <t>verified as derived</t>
        </is>
      </c>
    </row>
    <row r="120" ht="53.25" customHeight="1" s="10">
      <c r="A120" s="12" t="inlineStr">
        <is>
          <t>2. CMS estimates</t>
        </is>
      </c>
      <c r="B120" s="13" t="inlineStr">
        <is>
          <t>CE-69</t>
        </is>
      </c>
      <c r="C120" s="12" t="inlineStr">
        <is>
          <t>The SDP rule's state figure is a reduction in state spending measured before any change in the provider taxes and IGTs that fund the state share, so THEIA Services gives no state net for it</t>
        </is>
      </c>
      <c r="D120" s="12" t="inlineStr">
        <is>
          <t>derived arithmetic - interpretive [I]</t>
        </is>
      </c>
      <c r="E120" s="12" t="inlineStr">
        <is>
          <t>CMS-2449-P; [FIRM]</t>
        </is>
      </c>
      <c r="F120" s="12" t="inlineStr">
        <is>
          <t>Note sec. 3 (final paragraph); sec. 5 table ('Net for states: Not estimated here')</t>
        </is>
      </c>
      <c r="G120" s="12" t="inlineStr">
        <is>
          <t>Note sec. 3; sec. 5 table</t>
        </is>
      </c>
      <c r="H120" s="12" t="inlineStr">
        <is>
          <t>Why the SDP rule has no state net in the note</t>
        </is>
      </c>
      <c r="I120" s="12" t="inlineStr">
        <is>
          <t>states</t>
        </is>
      </c>
      <c r="J120" s="12" t="inlineStr">
        <is>
          <t>FY2026–2035</t>
        </is>
      </c>
      <c r="K120" s="12" t="inlineStr">
        <is>
          <t>real 2026 dollars</t>
        </is>
      </c>
      <c r="L120" s="12" t="inlineStr">
        <is>
          <t>central</t>
        </is>
      </c>
      <c r="M120" s="12" t="inlineStr">
        <is>
          <t>Follows from CE-40 (CMS: the net change in provider revenue 'could be significantly less' where providers pay the taxes or IGTs) and RM-44 (the financing source decides which rule reaches an SDP). CMS-2449-P's accounting statement is not used for a state net.</t>
        </is>
      </c>
      <c r="N120" s="12" t="inlineStr">
        <is>
          <t>verified as inference</t>
        </is>
      </c>
    </row>
    <row r="121" ht="42.75" customHeight="1" s="10">
      <c r="A121" s="12" t="inlineStr">
        <is>
          <t>2. CMS estimates</t>
        </is>
      </c>
      <c r="B121" s="13" t="inlineStr">
        <is>
          <t>CE-70</t>
        </is>
      </c>
      <c r="C121" s="12" t="inlineStr">
        <is>
          <t>Because provider taxes fund many SDPs and both rules reach tax-financed SDPs, CMS's estimates overlap; any total that adds the two estimates without removing the $241.9B overlap counts $241.9B twice</t>
        </is>
      </c>
      <c r="D121" s="12" t="inlineStr">
        <is>
          <t>derived arithmetic [I]</t>
        </is>
      </c>
      <c r="E121" s="12" t="inlineStr">
        <is>
          <t>CMS-2452-P; [FIRM]</t>
        </is>
      </c>
      <c r="F121" s="12" t="inlineStr">
        <is>
          <t>91 FR 46592; note sec. 2</t>
        </is>
      </c>
      <c r="G121" s="12" t="inlineStr">
        <is>
          <t>Note sec. 2</t>
        </is>
      </c>
      <c r="H121" s="12" t="inlineStr">
        <is>
          <t>The consequence of the overlap for any sum of the two estimates</t>
        </is>
      </c>
      <c r="I121" s="12" t="inlineStr">
        <is>
          <t>provider aggregate; total computable</t>
        </is>
      </c>
      <c r="J121" s="12" t="inlineStr">
        <is>
          <t>FY2026–2035</t>
        </is>
      </c>
      <c r="K121" s="12" t="inlineStr">
        <is>
          <t>real 2026 dollars</t>
        </is>
      </c>
      <c r="L121" s="12" t="inlineStr">
        <is>
          <t>central</t>
        </is>
      </c>
      <c r="M121" s="12" t="inlineStr">
        <is>
          <t>Internal: 384.0 − 142.1 = 241.9 and 154.9 + 87.0 = 241.9 (CE-14, CE-15). Applies to POLITICO's construction (SB-22): its federal side counts the $154.9B twice.</t>
        </is>
      </c>
      <c r="N121" s="12" t="inlineStr">
        <is>
          <t>verified</t>
        </is>
      </c>
    </row>
    <row r="122" ht="157.5" customHeight="1" s="10">
      <c r="A122" s="12" t="inlineStr">
        <is>
          <t>2. CMS estimates</t>
        </is>
      </c>
      <c r="B122" s="13" t="inlineStr">
        <is>
          <t>CE-71</t>
        </is>
      </c>
      <c r="C122" s="12" t="inlineStr">
        <is>
          <t>CMS says the SDP rule's high-savings total includes the additional services the rule would limit, while its central tables cover Section 71116; THEIA Services has not confirmed that the scenarios' scopes match</t>
        </is>
      </c>
      <c r="D122" s="12" t="inlineStr">
        <is>
          <t>CMS estimate (scope) [E]/[I]</t>
        </is>
      </c>
      <c r="E122" s="12" t="inlineStr">
        <is>
          <t>CMS-2449-P RIA</t>
        </is>
      </c>
      <c r="F122" s="12" t="inlineStr">
        <is>
          <t>91 FR 30454 (high-savings total); 91 FR 30451–30452 (central tables); note App. D ('Draft note, SDP rule parameters')</t>
        </is>
      </c>
      <c r="G122" s="12" t="inlineStr">
        <is>
          <t>Note App. D</t>
        </is>
      </c>
      <c r="H122" s="12" t="inlineStr">
        <is>
          <t>Scope of the high-savings total against the central tables</t>
        </is>
      </c>
      <c r="I122" s="12" t="inlineStr">
        <is>
          <t>total computable</t>
        </is>
      </c>
      <c r="J122" s="12" t="inlineStr">
        <is>
          <t>FY2026–2035</t>
        </is>
      </c>
      <c r="K122" s="12" t="inlineStr">
        <is>
          <t>real 2026 dollars</t>
        </is>
      </c>
      <c r="L122" s="12" t="inlineStr">
        <is>
          <t>central vs high-savings</t>
        </is>
      </c>
      <c r="M122" s="12" t="inlineStr">
        <is>
          <t>Pinpoints read from the Federal Register text in the new-text check. The extension to other services is ledgered at CE-06 and CE-56. If the scopes differ, the $989.7B (CE-04) is not like-for-like with the $774.8B (CE-01). VERIFIED October 13, 2026 (verification_v4_log.md): 91 FR 30454 read in the CMS-2449-P, govinfo PDF (FR Doc. 2026-10292): the $989.7 billion 'includes the impacts to services subject to the payment limits under section 71116 … and additional services'; Tables 18–20 captions (30451–30452, OCR) cover Section 71116. Caveat: Table 23's caption (OCR) also says 'under section 71116', and the low-savings text (30453) says nothing on scope, so CMS's own labels conflict; v17's [I] hedge stands.</t>
        </is>
      </c>
      <c r="N122" s="12" t="inlineStr">
        <is>
          <t>verified with caveat — upgraded from single-source; scope match still unconfirmed: re-checked October 13, 2026: 91 FR 30454 (high-savings total includes the additional services) and the Section 71116 captions at 30451–30452 match. Table 23's own caption (30454) says 'under section 71116'.</t>
        </is>
      </c>
    </row>
    <row r="123" ht="32.25" customHeight="1" s="10">
      <c r="A123" s="12" t="inlineStr">
        <is>
          <t>2. CMS estimates</t>
        </is>
      </c>
      <c r="B123" s="13" t="inlineStr">
        <is>
          <t>CE-72</t>
        </is>
      </c>
      <c r="C123" s="12" t="inlineStr">
        <is>
          <t>CMS-2449-P's Table 19 (91 FR 30452) gives the SDP rule's annual federal figures; CMS-2452-P's Table 19 (91 FR 46596) is the provider tax rule's accounting statement</t>
        </is>
      </c>
      <c r="D123" s="12" t="inlineStr">
        <is>
          <t>CMS estimate (caption) [E]</t>
        </is>
      </c>
      <c r="E123" s="12" t="inlineStr">
        <is>
          <t>CMS-2449-P; CMS-2452-P</t>
        </is>
      </c>
      <c r="F123" s="12" t="inlineStr">
        <is>
          <t>Table 19, 91 FR 30452 (R0177); Table 19, 91 FR 46596 (R1019); note App. E ('Draft note, two Tables 19')</t>
        </is>
      </c>
      <c r="G123" s="12" t="inlineStr">
        <is>
          <t>Note App. E</t>
        </is>
      </c>
      <c r="H123" s="12" t="inlineStr">
        <is>
          <t>Two different tables with the same number</t>
        </is>
      </c>
      <c r="I123" s="12" t="inlineStr">
        <is>
          <t>both rules</t>
        </is>
      </c>
      <c r="J123" s="12" t="inlineStr">
        <is>
          <t>FY2026–2035</t>
        </is>
      </c>
      <c r="K123" s="12" t="inlineStr">
        <is>
          <t>real 2026 dollars</t>
        </is>
      </c>
      <c r="L123" s="12" t="inlineStr">
        <is>
          <t>central</t>
        </is>
      </c>
      <c r="M123" s="12" t="inlineStr">
        <is>
          <t>CE-02 and CE-67 ledger the two tables' contents. Round 2 read Table 19 at 91 FR 46596 from the page image. A citation trap: citing 'Table 19' without the rule gives the wrong table.</t>
        </is>
      </c>
      <c r="N123" s="12" t="inlineStr">
        <is>
          <t>verified</t>
        </is>
      </c>
    </row>
    <row r="124" ht="32.25" customHeight="1" s="10">
      <c r="A124" s="12" t="inlineStr">
        <is>
          <t>2. CMS estimates</t>
        </is>
      </c>
      <c r="B124" s="13" t="inlineStr">
        <is>
          <t>CE-73</t>
        </is>
      </c>
      <c r="C124" s="12" t="inlineStr">
        <is>
          <t>Table 11's annual federal row sums to $245.9B against CMS's stated $245.8B</t>
        </is>
      </c>
      <c r="D124" s="12" t="inlineStr">
        <is>
          <t>derived arithmetic [I]</t>
        </is>
      </c>
      <c r="E124" s="12" t="inlineStr">
        <is>
          <t>CMS-2452-P Table 11</t>
        </is>
      </c>
      <c r="F124" s="12" t="inlineStr">
        <is>
          <t>Table 11, 91 FR 46591; note App. F ('Draft note, the federal reconciliation on CMS's tables')</t>
        </is>
      </c>
      <c r="G124" s="12" t="inlineStr">
        <is>
          <t>Note App. F</t>
        </is>
      </c>
      <c r="H124" s="12" t="inlineStr">
        <is>
          <t>A sum-of-rounded-cells difference</t>
        </is>
      </c>
      <c r="I124" s="12" t="inlineStr">
        <is>
          <t>federal only</t>
        </is>
      </c>
      <c r="J124" s="12" t="inlineStr">
        <is>
          <t>FY2026–2035</t>
        </is>
      </c>
      <c r="K124" s="12" t="inlineStr">
        <is>
          <t>real 2026 dollars</t>
        </is>
      </c>
      <c r="L124" s="12" t="inlineStr">
        <is>
          <t>central, excluding interaction</t>
        </is>
      </c>
      <c r="M124" s="12" t="inlineStr">
        <is>
          <t>Verification summary (F-015 note): Table 11's annual federal row sums to $245.9B against CMS's stated $245.8B, a rounding difference. CE-07 uses the stated $245.8B.</t>
        </is>
      </c>
      <c r="N124" s="12" t="inlineStr">
        <is>
          <t>verified</t>
        </is>
      </c>
    </row>
    <row r="125" ht="53.25" customHeight="1" s="10">
      <c r="A125" s="12" t="inlineStr">
        <is>
          <t>2. CMS estimates</t>
        </is>
      </c>
      <c r="B125" s="13" t="inlineStr">
        <is>
          <t>CE-74</t>
        </is>
      </c>
      <c r="C125" s="12" t="inlineStr">
        <is>
          <t>A hospital's step 1 covers only SDP amounts above the cap; it leaves out cuts that follow lost provider tax revenue, including the share of the provider tax rule's cut that falls outside SDPs (at least 20 percent under CMS's 80 percent ceiling), which a hospital should treat as a separate exposure</t>
        </is>
      </c>
      <c r="D125" s="12" t="inlineStr">
        <is>
          <t>derived arithmetic - interpretive [I]</t>
        </is>
      </c>
      <c r="E125" s="12" t="inlineStr">
        <is>
          <t>[FIRM]; CMS-2452-P</t>
        </is>
      </c>
      <c r="F125" s="12" t="inlineStr">
        <is>
          <t>Note sec. 7, step 1; sec. 2 (80 percent ceiling)</t>
        </is>
      </c>
      <c r="G125" s="12" t="inlineStr">
        <is>
          <t>Note sec. 7, step 1</t>
        </is>
      </c>
      <c r="H125" s="12" t="inlineStr">
        <is>
          <t>What the hospital-level step 1 omits</t>
        </is>
      </c>
      <c r="I125" s="12" t="inlineStr">
        <is>
          <t>hospital level</t>
        </is>
      </c>
      <c r="J125" s="12" t="inlineStr">
        <is>
          <t>prospective</t>
        </is>
      </c>
      <c r="K125" s="12" t="inlineStr">
        <is>
          <t>n/a</t>
        </is>
      </c>
      <c r="L125" s="12" t="inlineStr">
        <is>
          <t>central</t>
        </is>
      </c>
      <c r="M125" s="12" t="inlineStr">
        <is>
          <t>Arithmetic: 100 − 80 = 20 percent, on the central estimate's ceiling (CE-32). Depends on CE-32, now corrected to state the 80 percent.</t>
        </is>
      </c>
      <c r="N125" s="12" t="inlineStr">
        <is>
          <t>verified as inference — inherits CE-32</t>
        </is>
      </c>
    </row>
    <row r="126" ht="63.75" customHeight="1" s="10">
      <c r="A126" s="12" t="inlineStr">
        <is>
          <t>2. CMS estimates</t>
        </is>
      </c>
      <c r="B126" s="13" t="inlineStr">
        <is>
          <t>CE-75</t>
        </is>
      </c>
      <c r="C126" s="12" t="inlineStr">
        <is>
          <t>A hospital's step 2 is not directly comparable with the national $163.7B over 2026–2035, which is measured against a projection without the OBBBA, comes from $198.7B in lower collections that include $51.0B of tax increases avoided under the freeze, and is what remains after the $35.0B CMS assigns to private payers</t>
        </is>
      </c>
      <c r="D126" s="12" t="inlineStr">
        <is>
          <t>derived arithmetic - interpretive [I]</t>
        </is>
      </c>
      <c r="E126" s="12" t="inlineStr">
        <is>
          <t>CMS-2452-P Tables 6–8; [FIRM]</t>
        </is>
      </c>
      <c r="F126" s="12" t="inlineStr">
        <is>
          <t>Note sec. 7, step 2; 91 FR 46589–46590</t>
        </is>
      </c>
      <c r="G126" s="12" t="inlineStr">
        <is>
          <t>Note sec. 7, step 2</t>
        </is>
      </c>
      <c r="H126" s="12" t="inlineStr">
        <is>
          <t>Why the hospital-level and national tax-relief figures differ in kind</t>
        </is>
      </c>
      <c r="I126" s="12" t="inlineStr">
        <is>
          <t>hospital vs national</t>
        </is>
      </c>
      <c r="J126" s="12" t="inlineStr">
        <is>
          <t>FY2026–2035</t>
        </is>
      </c>
      <c r="K126" s="12" t="inlineStr">
        <is>
          <t>real 2026 dollars</t>
        </is>
      </c>
      <c r="L126" s="12" t="inlineStr">
        <is>
          <t>central</t>
        </is>
      </c>
      <c r="M126" s="12" t="inlineStr">
        <is>
          <t>Internal: 51.0 + 147.7 = 198.7 (CE-08); 198.7 − 35.0 = 163.7 (CE-09). Baseline per CE-43.</t>
        </is>
      </c>
      <c r="N126" s="12" t="inlineStr">
        <is>
          <t>verified as inference</t>
        </is>
      </c>
    </row>
    <row r="127" ht="53.25" customHeight="1" s="10">
      <c r="A127" s="12" t="inlineStr">
        <is>
          <t>2. CMS estimates</t>
        </is>
      </c>
      <c r="B127" s="13" t="inlineStr">
        <is>
          <t>CE-76</t>
        </is>
      </c>
      <c r="C127" s="12" t="inlineStr">
        <is>
          <t>CMS's 30 percent offset covers only the provider tax rule's cuts: replacing those cuts beyond 30 percent departs from CMS's assumption, while replacing SDP payments lost to the cap is relief the national range does not include</t>
        </is>
      </c>
      <c r="D127" s="12" t="inlineStr">
        <is>
          <t>derived arithmetic - interpretive [I]</t>
        </is>
      </c>
      <c r="E127" s="12" t="inlineStr">
        <is>
          <t>CMS-2452-P; [FIRM]</t>
        </is>
      </c>
      <c r="F127" s="12" t="inlineStr">
        <is>
          <t>91 FR 46591; note sec. 7, step 3 (third case), sec. 3</t>
        </is>
      </c>
      <c r="G127" s="12" t="inlineStr">
        <is>
          <t>Note sec. 7, step 3</t>
        </is>
      </c>
      <c r="H127" s="12" t="inlineStr">
        <is>
          <t>What the 30 percent offset applies to</t>
        </is>
      </c>
      <c r="I127" s="12" t="inlineStr">
        <is>
          <t>state response</t>
        </is>
      </c>
      <c r="J127" s="12" t="inlineStr">
        <is>
          <t>prospective</t>
        </is>
      </c>
      <c r="K127" s="12" t="inlineStr">
        <is>
          <t>n/a</t>
        </is>
      </c>
      <c r="L127" s="12" t="inlineStr">
        <is>
          <t>central</t>
        </is>
      </c>
      <c r="M127" s="12" t="inlineStr">
        <is>
          <t>Verification summary ('Other things the primary sources show'): CMS applies the 30 percent to 'these cuts', the payment reductions that follow lost tax revenue (91 FR 46591), not to reduced federal spending. The second limb (SDP payments lost to the cap) is [FIRM]'s reading.</t>
        </is>
      </c>
      <c r="N127" s="12" t="inlineStr">
        <is>
          <t>verified with caveat — the first limb is confirmed on CMS's text; the second is [I]</t>
        </is>
      </c>
    </row>
    <row r="128" ht="53.25" customHeight="1" s="10">
      <c r="A128" s="12" t="inlineStr">
        <is>
          <t>2. CMS estimates</t>
        </is>
      </c>
      <c r="B128" s="13" t="inlineStr">
        <is>
          <t>CE-77</t>
        </is>
      </c>
      <c r="C128" s="12" t="inlineStr">
        <is>
          <t>The gap between the two ends of the $488B to $753B range comes from step 3 alone: how much of the state share of SDPs providers fund themselves, which THEIA Services found in no public source; both ends rest on CMS's central assumptions about how states respond</t>
        </is>
      </c>
      <c r="D128" s="12" t="inlineStr">
        <is>
          <t>derived arithmetic [I]</t>
        </is>
      </c>
      <c r="E128" s="12" t="inlineStr">
        <is>
          <t>[FIRM]</t>
        </is>
      </c>
      <c r="F128" s="12" t="inlineStr">
        <is>
          <t>Note sec. 4 (second paragraph)</t>
        </is>
      </c>
      <c r="G128" s="12" t="inlineStr">
        <is>
          <t>Note sec. 4</t>
        </is>
      </c>
      <c r="H128" s="12" t="inlineStr">
        <is>
          <t>Source of the range's width</t>
        </is>
      </c>
      <c r="I128" s="12" t="inlineStr">
        <is>
          <t>provider aggregate</t>
        </is>
      </c>
      <c r="J128" s="12" t="inlineStr">
        <is>
          <t>FY2026–2035</t>
        </is>
      </c>
      <c r="K128" s="12" t="inlineStr">
        <is>
          <t>real 2026 dollars</t>
        </is>
      </c>
      <c r="L128" s="12" t="inlineStr">
        <is>
          <t>central</t>
        </is>
      </c>
      <c r="M128" s="12" t="inlineStr">
        <is>
          <t>Internal: 753.2 − 488.5 = 264.7, step 3's ceiling (CE-41). The absence of a public source is ledgered at NC-18. The central assumptions are at CE-32.</t>
        </is>
      </c>
      <c r="N128" s="12" t="inlineStr">
        <is>
          <t>verified as derived</t>
        </is>
      </c>
    </row>
    <row r="129" ht="84.75" customHeight="1" s="10">
      <c r="A129" s="12" t="inlineStr">
        <is>
          <t>2. CMS estimates</t>
        </is>
      </c>
      <c r="B129" s="13" t="inlineStr">
        <is>
          <t>CE-78</t>
        </is>
      </c>
      <c r="C129" s="12" t="inlineStr">
        <is>
          <t>Step 3 depends on a decision the state has not made, so a hospital models three cases: the state lowers the tax or transfer as SDPs shrink (maximizing the step 3 saving); the state keeps collecting the tax for other Medicaid costs (no step 3 saving); the state replaces part of the lost SDPs with general revenue or other payment programs (shrinking the step 1 loss). Step 3 must not count a tax cut already counted in step 2</t>
        </is>
      </c>
      <c r="D129" s="12" t="inlineStr">
        <is>
          <t>contextual - conditional [I]</t>
        </is>
      </c>
      <c r="E129" s="12" t="inlineStr">
        <is>
          <t>[FIRM]</t>
        </is>
      </c>
      <c r="F129" s="12" t="inlineStr">
        <is>
          <t>Note sec. 7, step 3</t>
        </is>
      </c>
      <c r="G129" s="12" t="inlineStr">
        <is>
          <t>Note sec. 7, step 3</t>
        </is>
      </c>
      <c r="H129" s="12" t="inlineStr">
        <is>
          <t>The hospital-level cases for the state's response</t>
        </is>
      </c>
      <c r="I129" s="12" t="inlineStr">
        <is>
          <t>hospital level</t>
        </is>
      </c>
      <c r="J129" s="12" t="inlineStr">
        <is>
          <t>prospective</t>
        </is>
      </c>
      <c r="K129" s="12" t="inlineStr">
        <is>
          <t>n/a</t>
        </is>
      </c>
      <c r="L129" s="12" t="inlineStr">
        <is>
          <t>conditional</t>
        </is>
      </c>
      <c r="M129" s="12" t="inlineStr">
        <is>
          <t>Method, not a finding. Related: RM-50 (state decisions are [C]), CE-76 (the offset assumption), RM-44 (financing source).</t>
        </is>
      </c>
      <c r="N129" s="12" t="inlineStr">
        <is>
          <t>verified as conditional</t>
        </is>
      </c>
    </row>
    <row r="130" ht="74.25" customHeight="1" s="10">
      <c r="A130" s="12" t="inlineStr">
        <is>
          <t>2. CMS estimates</t>
        </is>
      </c>
      <c r="B130" s="13" t="inlineStr">
        <is>
          <t>CE-79</t>
        </is>
      </c>
      <c r="C130" s="12" t="inlineStr">
        <is>
          <t>A hospital can estimate its own position with the same three steps (SDP revenue at risk, lower provider taxes, less money paid to fund SDPs), because its own records hold the two figures public data lack: its SDP receipts and its provider tax and IGT payments; state decisions remain the main uncertainty, so the result is a range for each year, not a single number</t>
        </is>
      </c>
      <c r="D130" s="12" t="inlineStr">
        <is>
          <t>contextual - interpretive [I]</t>
        </is>
      </c>
      <c r="E130" s="12" t="inlineStr">
        <is>
          <t>[FIRM]</t>
        </is>
      </c>
      <c r="F130" s="12" t="inlineStr">
        <is>
          <t>Note sec. 7 (opening paragraph), executive summary</t>
        </is>
      </c>
      <c r="G130" s="12" t="inlineStr">
        <is>
          <t>Note sec. 7</t>
        </is>
      </c>
      <c r="H130" s="12" t="inlineStr">
        <is>
          <t>Applicability of the national method at hospital level</t>
        </is>
      </c>
      <c r="I130" s="12" t="inlineStr">
        <is>
          <t>hospital level</t>
        </is>
      </c>
      <c r="J130" s="12" t="inlineStr">
        <is>
          <t>prospective</t>
        </is>
      </c>
      <c r="K130" s="12" t="inlineStr">
        <is>
          <t>n/a</t>
        </is>
      </c>
      <c r="L130" s="12" t="inlineStr">
        <is>
          <t>conditional</t>
        </is>
      </c>
      <c r="M130" s="12" t="inlineStr">
        <is>
          <t>Method, not a finding. The data gap it relies on is NC-02; the steps follow CE-39 and CE-41.</t>
        </is>
      </c>
      <c r="N130" s="12" t="inlineStr">
        <is>
          <t>verified as inference</t>
        </is>
      </c>
    </row>
    <row r="131" ht="84.75" customHeight="1" s="10">
      <c r="A131" s="12" t="inlineStr">
        <is>
          <t>2. CMS estimates</t>
        </is>
      </c>
      <c r="B131" s="13" t="inlineStr">
        <is>
          <t>CE-80</t>
        </is>
      </c>
      <c r="C131" s="12" t="inlineStr">
        <is>
          <t>For SDPs projected above 100 percent of Medicare, CMS reports that 39.8 percent were funded partly or wholly by IGTs but not provider taxes, 26.9 percent by provider taxes but not IGTs, and 14.2 percent by both, based on its analysis of 402 SDPs it approved</t>
        </is>
      </c>
      <c r="D131" s="12" t="inlineStr">
        <is>
          <t>CMS estimate [E]</t>
        </is>
      </c>
      <c r="E131" s="12" t="inlineStr">
        <is>
          <t>CMS-2449-P</t>
        </is>
      </c>
      <c r="F131" s="12" t="inlineStr">
        <is>
          <t>91 FR 30410 and footnote 40; note App. C ('Draft note, SDP financing shares')</t>
        </is>
      </c>
      <c r="G131" s="12" t="inlineStr">
        <is>
          <t>Footnote 40: 'This is based on an analysis conducted in June 2025 of 402 SDPs approved by CMS between January 1, 2022 and December 31, 2024'</t>
        </is>
      </c>
      <c r="H131" s="12" t="inlineStr">
        <is>
          <t>Financing mix of above-Medicare SDPs, by number of SDPs analyzed</t>
        </is>
      </c>
      <c r="I131" s="12" t="inlineStr">
        <is>
          <t>402 approved SDPs</t>
        </is>
      </c>
      <c r="J131" s="12" t="inlineStr">
        <is>
          <t>SDPs approved January 1, 2022 – December 31, 2024</t>
        </is>
      </c>
      <c r="K131" s="12" t="inlineStr">
        <is>
          <t>share</t>
        </is>
      </c>
      <c r="L131" s="12" t="inlineStr">
        <is>
          <t>not scenario-dependent</t>
        </is>
      </c>
      <c r="M131" s="12" t="inlineStr">
        <is>
          <t>Round 3 item 4: text and footnote 40 confirmed; the shares are of 'SDPs that were projected to exceed 100 percent of Medicare up to 100 percent of the ACR'. CMS does not say whether the shares count arrangements or dollars (the v16 'arrangements, not dollars' claim was cut). The three shares sum to 80.9 percent, while CMS prints 80.8 percent, a rounding difference. Distinct from RM-13 (80–90% of SDPs relied on provider taxes or IGTs by the end of 2025).</t>
        </is>
      </c>
      <c r="N131" s="12" t="inlineStr">
        <is>
          <t>verified with caveat — counts or dollars not stated; sum differs from CMS's printed total by rounding</t>
        </is>
      </c>
    </row>
    <row r="132" ht="84.75" customHeight="1" s="10">
      <c r="A132" s="12" t="inlineStr">
        <is>
          <t>3. The $681B construction</t>
        </is>
      </c>
      <c r="B132" s="13" t="inlineStr">
        <is>
          <t>SB-01</t>
        </is>
      </c>
      <c r="C132" s="12" t="inlineStr">
        <is>
          <t>POLITICO's $681B compares two estimates of the same OBBBA provisions on mismatched bases; its September 2, 2026 article reported that hospitals had expected to lose $340B through 2034, that the rules would produce about $756B in federal and $265B in state savings through 2035, and that, 'as hospitals see it', hospitals are losing $681B more than expected</t>
        </is>
      </c>
      <c r="D132" s="12" t="inlineStr">
        <is>
          <t>third-party estimate [I]/[E]</t>
        </is>
      </c>
      <c r="E132" s="12" t="inlineStr">
        <is>
          <t>POLITICO</t>
        </is>
      </c>
      <c r="F132" s="12" t="inlineStr">
        <is>
          <t>POLITICO, news article, Sept 2, 2026; note sec. 5</t>
        </is>
      </c>
      <c r="G132" s="12" t="inlineStr">
        <is>
          <t>"or as hospitals see it, they're losing $681 billion more than they expected"</t>
        </is>
      </c>
      <c r="H132" s="12" t="inlineStr">
        <is>
          <t>The difference between two government budget quantities and a CBO score of the statute</t>
        </is>
      </c>
      <c r="I132" s="12" t="inlineStr">
        <is>
          <t>mixed and internally inconsistent</t>
        </is>
      </c>
      <c r="J132" s="12" t="inlineStr">
        <is>
          <t>mixed</t>
        </is>
      </c>
      <c r="K132" s="12" t="inlineStr">
        <is>
          <t>mixed</t>
        </is>
      </c>
      <c r="L132" s="12" t="inlineStr">
        <is>
          <t>not scenario-dependent as published</t>
        </is>
      </c>
      <c r="M132" s="12" t="inlineStr">
        <is>
          <t>No independent derivation located (SB-11, C-4); single publisher UPDATED October 11, 2026: v17 refers to the article only, not to a companion newsletter, and states the mismatch-of-bases reading as [I]. Previous wording: 'The $681B figure is arithmetic published by POLITICO on Sept 2, 2026, in a news article and companion newsletter'</t>
        </is>
      </c>
      <c r="N132" s="12" t="inlineStr">
        <is>
          <t>verified with caveat — single publisher, no corroborating outlet located — NEEDS VERIFICATION [DL3] POLITICO, September 2, 2026 is on the decision-log re-check list (secs. 5–6; App. H).</t>
        </is>
      </c>
    </row>
    <row r="133" ht="53.25" customHeight="1" s="10">
      <c r="A133" s="12" t="inlineStr">
        <is>
          <t>3. The $681B construction</t>
        </is>
      </c>
      <c r="B133" s="13" t="inlineStr">
        <is>
          <t>SB-02</t>
        </is>
      </c>
      <c r="C133" s="12" t="inlineStr">
        <is>
          <t>The construction is stated in the article itself: hospitals expected to lose $340B through 2034; the two rules generate roughly $756B federal and $265B state savings through 2035</t>
        </is>
      </c>
      <c r="D133" s="12" t="inlineStr">
        <is>
          <t>third-party estimate</t>
        </is>
      </c>
      <c r="E133" s="12" t="inlineStr">
        <is>
          <t>POLITICO</t>
        </is>
      </c>
      <c r="F133" s="12" t="inlineStr">
        <is>
          <t>Same article</t>
        </is>
      </c>
      <c r="G133" s="12" t="inlineStr">
        <is>
          <t>As quoted in note sec. 3b</t>
        </is>
      </c>
      <c r="H133" s="12" t="inlineStr">
        <is>
          <t>The published construction of the figure</t>
        </is>
      </c>
      <c r="I133" s="12" t="inlineStr">
        <is>
          <t>mixed</t>
        </is>
      </c>
      <c r="J133" s="12" t="inlineStr">
        <is>
          <t>through 2034 and through 2035 in the same sentence</t>
        </is>
      </c>
      <c r="K133" s="12" t="inlineStr">
        <is>
          <t>mixed</t>
        </is>
      </c>
      <c r="L133" s="12" t="inlineStr">
        <is>
          <t>mixed</t>
        </is>
      </c>
      <c r="M133" s="12" t="inlineStr">
        <is>
          <t>Internal: 756 + 265 − 340 = 681 exactly</t>
        </is>
      </c>
      <c r="N133" s="12" t="inlineStr">
        <is>
          <t>verified — NEEDS VERIFICATION [DL3] POLITICO, September 2, 2026 is on the decision-log re-check list (secs. 5–6; App. H).</t>
        </is>
      </c>
    </row>
    <row r="134" ht="53.25" customHeight="1" s="10">
      <c r="A134" s="12" t="inlineStr">
        <is>
          <t>3. The $681B construction</t>
        </is>
      </c>
      <c r="B134" s="13" t="inlineStr">
        <is>
          <t>SB-03</t>
        </is>
      </c>
      <c r="C134" s="12" t="inlineStr">
        <is>
          <t>The framing is "as hospitals see it"</t>
        </is>
      </c>
      <c r="D134" s="12" t="inlineStr">
        <is>
          <t>contextual</t>
        </is>
      </c>
      <c r="E134" s="12" t="inlineStr">
        <is>
          <t>POLITICO</t>
        </is>
      </c>
      <c r="F134" s="12" t="inlineStr">
        <is>
          <t>Same article</t>
        </is>
      </c>
      <c r="G134" s="12" t="inlineStr">
        <is>
          <t>Quoted phrase</t>
        </is>
      </c>
      <c r="H134" s="12" t="inlineStr">
        <is>
          <t>Attribution of viewpoint, not of authorship</t>
        </is>
      </c>
      <c r="I134" s="12" t="inlineStr">
        <is>
          <t>n/a</t>
        </is>
      </c>
      <c r="J134" s="12" t="inlineStr">
        <is>
          <t>n/a</t>
        </is>
      </c>
      <c r="K134" s="12" t="inlineStr">
        <is>
          <t>n/a</t>
        </is>
      </c>
      <c r="L134" s="12" t="inlineStr">
        <is>
          <t>not scenario-dependent</t>
        </is>
      </c>
      <c r="M134" s="12" t="inlineStr">
        <is>
          <t>The note relies on this phrase to avoid attributing the figure to any hospital association</t>
        </is>
      </c>
      <c r="N134" s="12" t="inlineStr">
        <is>
          <t>verified — NEEDS VERIFICATION [DL3] POLITICO, September 2, 2026 is on the decision-log re-check list (secs. 5–6; App. H).</t>
        </is>
      </c>
    </row>
    <row r="135" ht="74.25" customHeight="1" s="10">
      <c r="A135" s="12" t="inlineStr">
        <is>
          <t>3. The $681B construction</t>
        </is>
      </c>
      <c r="B135" s="13" t="inlineStr">
        <is>
          <t>SB-04</t>
        </is>
      </c>
      <c r="C135" s="12" t="inlineStr">
        <is>
          <t>The $756B combines federal figures from both rules</t>
        </is>
      </c>
      <c r="D135" s="12" t="inlineStr">
        <is>
          <t>derived arithmetic [I]</t>
        </is>
      </c>
      <c r="E135" s="12" t="inlineStr">
        <is>
          <t>CMS-2449-P Table 19; CMS-2452-P Table 11</t>
        </is>
      </c>
      <c r="F135" s="12" t="inlineStr">
        <is>
          <t>91 FR 30452; 91 FR 46591</t>
        </is>
      </c>
      <c r="G135" s="12" t="inlineStr">
        <is>
          <t>Note sec. 3b</t>
        </is>
      </c>
      <c r="H135" s="12" t="inlineStr">
        <is>
          <t>Sum of two federal reduction estimates</t>
        </is>
      </c>
      <c r="I135" s="12" t="inlineStr">
        <is>
          <t>federal only</t>
        </is>
      </c>
      <c r="J135" s="12" t="inlineStr">
        <is>
          <t>FY2026–2035</t>
        </is>
      </c>
      <c r="K135" s="12" t="inlineStr">
        <is>
          <t>real 2026 dollars</t>
        </is>
      </c>
      <c r="L135" s="12" t="inlineStr">
        <is>
          <t>primary</t>
        </is>
      </c>
      <c r="M135" s="12" t="inlineStr">
        <is>
          <t>Internal: 510.1 + 245.8 = 755.9, which rounds to 756 UPDATED October 11, 2026: v17 words this as POLITICO's $756B, 'both rules' federal savings measured alone ($510.1 billion + $245.8 billion, 2026–2035, 2026 dollars)', which leaves out the interaction between the two sections; read as the two rules' combined cut it counts the $154.9B federal overlap twice (CE-70).</t>
        </is>
      </c>
      <c r="N135" s="12" t="inlineStr">
        <is>
          <t>verified</t>
        </is>
      </c>
    </row>
    <row r="136" ht="21.75" customHeight="1" s="10">
      <c r="A136" s="12" t="inlineStr">
        <is>
          <t>3. The $681B construction</t>
        </is>
      </c>
      <c r="B136" s="13" t="inlineStr">
        <is>
          <t>SB-05</t>
        </is>
      </c>
      <c r="C136" s="12" t="inlineStr">
        <is>
          <t>CMS's own accounting identifies $154.9B of federal reduction as common to the two rules</t>
        </is>
      </c>
      <c r="D136" s="12" t="inlineStr">
        <is>
          <t>CMS estimate</t>
        </is>
      </c>
      <c r="E136" s="12" t="inlineStr">
        <is>
          <t>CMS-2452-P</t>
        </is>
      </c>
      <c r="F136" s="12" t="inlineStr">
        <is>
          <t>91 FR 46592; R1011</t>
        </is>
      </c>
      <c r="G136" s="12" t="inlineStr">
        <is>
          <t>Narrative</t>
        </is>
      </c>
      <c r="H136" s="12" t="inlineStr">
        <is>
          <t>Double-counted federal component of the $756B</t>
        </is>
      </c>
      <c r="I136" s="12" t="inlineStr">
        <is>
          <t>federal only</t>
        </is>
      </c>
      <c r="J136" s="12" t="inlineStr">
        <is>
          <t>FY2026–2035</t>
        </is>
      </c>
      <c r="K136" s="12" t="inlineStr">
        <is>
          <t>real 2026 dollars</t>
        </is>
      </c>
      <c r="L136" s="12" t="inlineStr">
        <is>
          <t>primary</t>
        </is>
      </c>
      <c r="M136" s="12" t="inlineStr">
        <is>
          <t>CE-15; the overlap is CMS's own figure, not an adjustment introduced by the note</t>
        </is>
      </c>
      <c r="N136" s="12" t="inlineStr">
        <is>
          <t>verified</t>
        </is>
      </c>
    </row>
    <row r="137" ht="32.25" customHeight="1" s="10">
      <c r="A137" s="12" t="inlineStr">
        <is>
          <t>3. The $681B construction</t>
        </is>
      </c>
      <c r="B137" s="13" t="inlineStr">
        <is>
          <t>SB-06</t>
        </is>
      </c>
      <c r="C137" s="12" t="inlineStr">
        <is>
          <t>The $265B is the SDP rule's state figure alone; the provider tax rule's $138.2B state reduction is not in it</t>
        </is>
      </c>
      <c r="D137" s="12" t="inlineStr">
        <is>
          <t>derived arithmetic</t>
        </is>
      </c>
      <c r="E137" s="12" t="inlineStr">
        <is>
          <t>CMS-2449-P Table 20 (R1008); CMS-2452-P Table 11 (R0658)</t>
        </is>
      </c>
      <c r="F137" s="12" t="inlineStr">
        <is>
          <t>91 FR 30452; 91 FR 46591</t>
        </is>
      </c>
      <c r="G137" s="12" t="inlineStr">
        <is>
          <t>Note sec. 3b</t>
        </is>
      </c>
      <c r="H137" s="12" t="inlineStr">
        <is>
          <t>Asymmetric scope on the state side</t>
        </is>
      </c>
      <c r="I137" s="12" t="inlineStr">
        <is>
          <t>state only</t>
        </is>
      </c>
      <c r="J137" s="12" t="inlineStr">
        <is>
          <t>FY2026–2035</t>
        </is>
      </c>
      <c r="K137" s="12" t="inlineStr">
        <is>
          <t>real 2026 dollars</t>
        </is>
      </c>
      <c r="L137" s="12" t="inlineStr">
        <is>
          <t>primary</t>
        </is>
      </c>
      <c r="M137" s="12" t="inlineStr">
        <is>
          <t>Internal: 264.7 rounds to 265; 138.2 is absent from the total</t>
        </is>
      </c>
      <c r="N137" s="12" t="inlineStr">
        <is>
          <t>verified</t>
        </is>
      </c>
    </row>
    <row r="138" ht="210" customHeight="1" s="10">
      <c r="A138" s="12" t="inlineStr">
        <is>
          <t>3. The $681B construction</t>
        </is>
      </c>
      <c r="B138" s="13" t="inlineStr">
        <is>
          <t>SB-07</t>
        </is>
      </c>
      <c r="C138" s="12" t="inlineStr">
        <is>
          <t>The construction therefore takes both rules on the federal side and one rule on the state side</t>
        </is>
      </c>
      <c r="D138" s="12" t="inlineStr">
        <is>
          <t>derived arithmetic</t>
        </is>
      </c>
      <c r="E138" s="12" t="inlineStr">
        <is>
          <t>As above</t>
        </is>
      </c>
      <c r="F138" s="12" t="inlineStr">
        <is>
          <t>91 FR 30452, 46591–46592</t>
        </is>
      </c>
      <c r="G138" s="12" t="inlineStr">
        <is>
          <t>Note sec. 3b</t>
        </is>
      </c>
      <c r="H138" s="12" t="inlineStr">
        <is>
          <t>Internal inconsistency of scope within one subtraction</t>
        </is>
      </c>
      <c r="I138" s="12" t="inlineStr">
        <is>
          <t>mixed</t>
        </is>
      </c>
      <c r="J138" s="12" t="inlineStr">
        <is>
          <t>FY2026–2035</t>
        </is>
      </c>
      <c r="K138" s="12" t="inlineStr">
        <is>
          <t>real 2026 dollars</t>
        </is>
      </c>
      <c r="L138" s="12" t="inlineStr">
        <is>
          <t>primary</t>
        </is>
      </c>
      <c r="M138" s="12" t="inlineStr">
        <is>
          <t>SUPERSEDED September 27, 2026. The row's claim (both rules federal, one rule state) stands, but its cross-check recorded that 'consistent arithmetic would add the missing $138.2B and remove the double-counted $154.9B, producing a larger figure — the error runs against the direction the figure is used to argue'. Under the note's own accounting that is reversed. Following the row's own recipe gives 756 + 265 + 138.2 − 154.9 − 340 = 664.3, smaller than 681. Removing the $87.0B state overlap as well gives $916.9B total computable and 916.9 − 340.5 = 576.4, smaller again. (Ledger arithmetic, shown only to document the reversal. The note gives no corrected figure, because the two sides' bases still do not match.) The note now says only that correcting the asymmetry 'would change the figure, but not the mismatch between the bases of its two sides'. Removed or reversed by: the first adversarial review (D-14), which found several POLITICO claims speculative or reversed under the note's own accounting. Replaced by: SB-22. Original cross-check, retained for the record: Internal: consistent arithmetic would add the missing $138.2B and remove the double-counted $154.9B, producing a larger figure — the error runs against the direction the figure is used to argue</t>
        </is>
      </c>
      <c r="N138" s="12" t="inlineStr">
        <is>
          <t>SUPERSEDED — 'larger figure' reading reversed; replaced by SB-22</t>
        </is>
      </c>
    </row>
    <row r="139" ht="220.5" customHeight="1" s="10">
      <c r="A139" s="12" t="inlineStr">
        <is>
          <t>3. The $681B construction</t>
        </is>
      </c>
      <c r="B139" s="13" t="inlineStr">
        <is>
          <t>SB-08</t>
        </is>
      </c>
      <c r="C139" s="12" t="inlineStr">
        <is>
          <t>The $340B being subtracted is CBO's estimate of the federal Medicaid outlay reduction from Sections 71115 and 71116: $191.1B and $149.4B, or $340.5B, rounded</t>
        </is>
      </c>
      <c r="D139" s="12" t="inlineStr">
        <is>
          <t>third-party estimate</t>
        </is>
      </c>
      <c r="E139" s="12" t="inlineStr">
        <is>
          <t>CBO, as reported by CRS</t>
        </is>
      </c>
      <c r="F139" s="12" t="inlineStr">
        <is>
          <t>CRS R48633, "Health Provisions in P.L. 119-21, the FY2025 Reconciliation Law"; CBO supplemental cost estimate, October 28, 2025 (source rows SB-09, SB-14, SB-15, SB-16)</t>
        </is>
      </c>
      <c r="G139" s="12" t="inlineStr">
        <is>
          <t>Note sec. 3b</t>
        </is>
      </c>
      <c r="H139" s="12" t="inlineStr">
        <is>
          <t>Federal Medicaid outlay reduction from the statute</t>
        </is>
      </c>
      <c r="I139" s="12" t="inlineStr">
        <is>
          <t>federal only</t>
        </is>
      </c>
      <c r="J139" s="12" t="inlineStr">
        <is>
          <t>FY2025–2034</t>
        </is>
      </c>
      <c r="K139" s="12" t="inlineStr">
        <is>
          <t>nominal</t>
        </is>
      </c>
      <c r="L139" s="12" t="inlineStr">
        <is>
          <t>not scenario-dependent (enacted law)</t>
        </is>
      </c>
      <c r="M139" s="12" t="inlineStr">
        <is>
          <t>SUPERSEDED September 27, 2026. The row says the $340B 'is' CBO's estimate. The note now says only that it 'matches, to rounding' CBO's $340.5B outlay estimate, and that 'the article attributes it to hospitals' expectations and does not name a source'. The identification is [FIRM]'s match, not the article's attribution. Removed or reversed by: the adversarial review cycle (D-14, D-15); the supplied materials do not say which pass. Replaced by: SB-17 and SB-18. Original cross-check, retained for the record: RESOLVED Sept 22, 2026 AS A MEASURE DIFFERENCE, NOT A VINTAGE DIFFERENCE. $191.1B is CBO's Sec. 71115 outlay estimate and $182.7B is its net deficit estimate after an $8.4B revenue reduction: 191.118 − 8.424 = 182.694. Sec. 71116 has no revenue effect, so its outlay and deficit figures are both $149.4B. Outlays: 191.1 + 149.4 = 340.5, which rounds to POLITICO's $340B. Deficit: 182.7 + 149.4 = 332.1. CRS attributes the $191.1B to P.L. 119-21, the enacted law; the Senate-passed text became the law, so there is no pre-enactment versus enacted-law distinction between the two figures. The earlier cross-check, which read 340 against 332.1 as a different vintage rather than a rounding of the same number, is withdrawn, as is the handoff's proposed edit 3h, which carried the same reading (D-13). Outlays are the comparable basis for CMS's spending estimates</t>
        </is>
      </c>
      <c r="N139" s="12" t="inlineStr">
        <is>
          <t>SUPERSEDED — identity restated as a match; replaced by SB-17 and SB-18</t>
        </is>
      </c>
    </row>
    <row r="140" ht="199.5" customHeight="1" s="10">
      <c r="A140" s="12" t="inlineStr">
        <is>
          <t>3. The $681B construction</t>
        </is>
      </c>
      <c r="B140" s="13" t="inlineStr">
        <is>
          <t>SB-09</t>
        </is>
      </c>
      <c r="C140" s="12" t="inlineStr">
        <is>
          <t>On CBO's deficit measure, Section 71115 reduces deficits by $182.7B over FY2025–2034: its $191.1B outlay reduction less an $8.4B revenue loss. On that measure the two sections sum to $332.1B (THEIA Services' sum, not a CBO figure). The note compares outlays only and never sets one measure against the other</t>
        </is>
      </c>
      <c r="D140" s="12" t="inlineStr">
        <is>
          <t>third-party estimate [E]/[I]</t>
        </is>
      </c>
      <c r="E140" s="12" t="inlineStr">
        <is>
          <t>CBO</t>
        </is>
      </c>
      <c r="F140" s="12" t="inlineStr">
        <is>
          <t>CBO, October 28, 2025, pp. 4–5 (Sec. 71115 'will decrease deficits by $182.7 billion over the 2025-2034 period', p. 5); CBO, July 21, 2025, Table 7; note App. F ('Draft note, CBO's two measures')</t>
        </is>
      </c>
      <c r="G140" s="12" t="inlineStr">
        <is>
          <t>Note App. F</t>
        </is>
      </c>
      <c r="H140" s="12" t="inlineStr">
        <is>
          <t>Net federal deficit effect of the statute: outlay reduction less revenue loss</t>
        </is>
      </c>
      <c r="I140" s="12" t="inlineStr">
        <is>
          <t>federal only</t>
        </is>
      </c>
      <c r="J140" s="12" t="inlineStr">
        <is>
          <t>FY2025–2034</t>
        </is>
      </c>
      <c r="K140" s="12" t="inlineStr">
        <is>
          <t>nominal</t>
        </is>
      </c>
      <c r="L140" s="12" t="inlineStr">
        <is>
          <t>not scenario-dependent (enacted law)</t>
        </is>
      </c>
      <c r="M140" s="12" t="inlineStr">
        <is>
          <t>Internal: 191.118 − 8.424 = 182.694, which rounds to 182.7 (SB-14, SB-15, SB-17). The deficit-measure combination, 182.7 + 149.4 = 332.1, was the note's former combined figure in sec. 1; it set a deficit measure against CMS spending figures and was replaced on Sept 22, 2026 by the outlay combination of $340.5B (SB-17; formerly SB-16). $332.1B no longer appears in the note. $182.7B is retained in sec. 1 as the net deficit figure and in footnote 2's citation trap (CE-28) UPDATED October 11, 2026: CORRECTION: the earlier cross-check said '$332.1B no longer appears in the note'. v17 App. F states it, as THEIA's sum on CBO's deficit measure [I], so that sentence is withdrawn. Round 2 confirmed 182.7 (p. 5), 191,118 and 149,424 (Table 7 cells O253, O257, O850) and that 332.1 is arithmetic, not a CBO total. v17 cites CBO directly in place of CRS R48633. The 'Sec. 71116 has no revenue effect' clause is no longer stated. Previous wording: 'CBO's net deficit estimate for Sec. 71115 is $182.7B, after an $8.4B reduction in federal revenues; Sec. 71116 has no revenue effect, so its deficit figure equals its $149.4B outlay figure'</t>
        </is>
      </c>
      <c r="N140" s="12" t="inlineStr">
        <is>
          <t>verified</t>
        </is>
      </c>
    </row>
    <row r="141" ht="178.5" customHeight="1" s="10">
      <c r="A141" s="12" t="inlineStr">
        <is>
          <t>3. The $681B construction</t>
        </is>
      </c>
      <c r="B141" s="13" t="inlineStr">
        <is>
          <t>SB-10</t>
        </is>
      </c>
      <c r="C141" s="12" t="inlineStr">
        <is>
          <t>Both sides of the subtraction are the same policy scored on incompatible bases, differing on at least five axes</t>
        </is>
      </c>
      <c r="D141" s="12" t="inlineStr">
        <is>
          <t>derived arithmetic</t>
        </is>
      </c>
      <c r="E141" s="12" t="inlineStr">
        <is>
          <t>CBO and both RIAs</t>
        </is>
      </c>
      <c r="F141" s="12" t="inlineStr">
        <is>
          <t>Note footnote 4 (footnote 5 before the restructure)</t>
        </is>
      </c>
      <c r="G141" s="12" t="inlineStr">
        <is>
          <t>Footnote 4</t>
        </is>
      </c>
      <c r="H141" s="12" t="inlineStr">
        <is>
          <t>Basis incomparability</t>
        </is>
      </c>
      <c r="I141" s="12" t="inlineStr">
        <is>
          <t>mixed</t>
        </is>
      </c>
      <c r="J141" s="12" t="inlineStr">
        <is>
          <t>2025–2034 vs 2026–2035</t>
        </is>
      </c>
      <c r="K141" s="12" t="inlineStr">
        <is>
          <t>nominal vs real 2026</t>
        </is>
      </c>
      <c r="L141" s="12" t="inlineStr">
        <is>
          <t>statutory score vs regulatory estimate</t>
        </is>
      </c>
      <c r="M141" s="12" t="inlineStr">
        <is>
          <t>SUPERSEDED September 27, 2026. Footnote 4 (formerly footnote 5) no longer lists 'federal-only versus total computable' as an axis. It was removed because CMS prints federal shares, so that scope difference can be closed from CMS's own tables. The five axes are now baseline; nominal versus real dollars; fiscal versus calendar year framing; statutory scoring versus regulatory implementation; and enrollment and behavioral assumptions. The row also said each axis is 'independently sufficient to block the subtraction', which the note does not say. Removed or reversed by: the adversarial review cycle (D-14, D-15); the supplied materials do not say which pass. Replaced by: SB-21. Original cross-check, retained for the record: Internal: baseline, dollar basis, fiscal framing, statute vs rule, federal-only vs total computable — five axes, each independently sufficient to block the subtraction. A sixth axis, pre- vs post-enactment scoring, was removed from footnote 5 (now footnote 4) on Sept 22, 2026: CRS attributes the $191.1B to the enacted law and the Senate-passed text became the law, so no such distinction applies (SB-08, D-13)</t>
        </is>
      </c>
      <c r="N141" s="12" t="inlineStr">
        <is>
          <t>SUPERSEDED — federal-only axis removed from footnote 4; replaced by SB-21</t>
        </is>
      </c>
    </row>
    <row r="142" ht="74.25" customHeight="1" s="10">
      <c r="A142" s="12" t="inlineStr">
        <is>
          <t>3. The $681B construction</t>
        </is>
      </c>
      <c r="B142" s="13" t="inlineStr">
        <is>
          <t>SB-11</t>
        </is>
      </c>
      <c r="C142" s="12" t="inlineStr">
        <is>
          <t>No independent derivation of the $681B predating Sept 2, 2026 was located</t>
        </is>
      </c>
      <c r="D142" s="12" t="inlineStr">
        <is>
          <t>negative claim [I]</t>
        </is>
      </c>
      <c r="E142" s="12" t="inlineStr">
        <is>
          <t>See C-4 for full scope</t>
        </is>
      </c>
      <c r="F142" s="12" t="inlineStr">
        <is>
          <t>Searches of association public records, docket comment letters and consultancy publications</t>
        </is>
      </c>
      <c r="G142" s="12" t="inlineStr">
        <is>
          <t>Absence</t>
        </is>
      </c>
      <c r="H142" s="12" t="inlineStr">
        <is>
          <t>Absence of a hospital-association model</t>
        </is>
      </c>
      <c r="I142" s="12" t="inlineStr">
        <is>
          <t>n/a</t>
        </is>
      </c>
      <c r="J142" s="12" t="inlineStr">
        <is>
          <t>before Sept 2, 2026 (note); comment records through October 7, 2026 (App. G)</t>
        </is>
      </c>
      <c r="K142" s="12" t="inlineStr">
        <is>
          <t>n/a</t>
        </is>
      </c>
      <c r="L142" s="12" t="inlineStr">
        <is>
          <t>not scenario-dependent</t>
        </is>
      </c>
      <c r="M142" s="12" t="inlineStr">
        <is>
          <t>none located — negative claim, scoped at C-4 UPDATED October 11, 2026: v17 states 'THEIA Services found no independent derivation of $681 billion before September 2, 2026 [I]'. The search scope is extended: App. G searched the full text of every comment posted on regulations.gov for both rules as of October 7, 2026 (NC-17), replacing the 28 posted comments and seven letters recorded at C-4.</t>
        </is>
      </c>
      <c r="N142" s="12" t="inlineStr">
        <is>
          <t>verified as scoped</t>
        </is>
      </c>
    </row>
    <row r="143" ht="84.75" customHeight="1" s="10">
      <c r="A143" s="12" t="inlineStr">
        <is>
          <t>3. The $681B construction</t>
        </is>
      </c>
      <c r="B143" s="13" t="inlineStr">
        <is>
          <t>SB-12</t>
        </is>
      </c>
      <c r="C143" s="12" t="inlineStr">
        <is>
          <t>One later comment restates the $681B as a hospital loss with no source or derivation (comment CMS-2026-2476-0079)</t>
        </is>
      </c>
      <c r="D143" s="12" t="inlineStr">
        <is>
          <t>negative claim [E]</t>
        </is>
      </c>
      <c r="E143" s="12" t="inlineStr">
        <is>
          <t>See C-4</t>
        </is>
      </c>
      <c r="F143" s="12" t="inlineStr">
        <is>
          <t>Comment CMS-2026-2476-0079; note sec. 5, App. G</t>
        </is>
      </c>
      <c r="G143" s="12" t="inlineStr">
        <is>
          <t>Note sec. 5; App. G</t>
        </is>
      </c>
      <c r="H143" s="12" t="inlineStr">
        <is>
          <t>n/a</t>
        </is>
      </c>
      <c r="I143" s="12" t="inlineStr">
        <is>
          <t>n/a</t>
        </is>
      </c>
      <c r="J143" s="12" t="inlineStr">
        <is>
          <t>comment records through October 7, 2026</t>
        </is>
      </c>
      <c r="K143" s="12" t="inlineStr">
        <is>
          <t>n/a</t>
        </is>
      </c>
      <c r="L143" s="12" t="inlineStr">
        <is>
          <t>not scenario-dependent</t>
        </is>
      </c>
      <c r="M143" s="12" t="inlineStr">
        <is>
          <t>none located — negative claim, scoped at C-4 UPDATED October 11, 2026: v17 identifies the one later reference, an individual's comment, and cites it by ID; the earlier wording ('later references restate the figure rather than reproduce it') is replaced by the single located instance. The comment ID was located by the comment analyst and is not in the verification files. Previous wording: 'Later references restate the figure rather than reproduce it'</t>
        </is>
      </c>
      <c r="N143" s="12" t="inlineStr">
        <is>
          <t>verified as scoped — NEEDS VERIFICATION [DL4] Comment ID CMS-2026-2476-0079 is on the 'citation to add after verification' list (change map, v2 list item 7); v17 now cites it.</t>
        </is>
      </c>
    </row>
    <row r="144" ht="105.75" customHeight="1" s="10">
      <c r="A144" s="12" t="inlineStr">
        <is>
          <t>3. The $681B construction</t>
        </is>
      </c>
      <c r="B144" s="13" t="inlineStr">
        <is>
          <t>SB-13</t>
        </is>
      </c>
      <c r="C144" s="12" t="inlineStr">
        <is>
          <t>The figure is attributed to construction rather than to intent</t>
        </is>
      </c>
      <c r="D144" s="12" t="inlineStr">
        <is>
          <t>contextual — interpretive</t>
        </is>
      </c>
      <c r="E144" s="12" t="inlineStr">
        <is>
          <t>[FIRM]</t>
        </is>
      </c>
      <c r="F144" s="12" t="inlineStr">
        <is>
          <t>Note sec. 3b</t>
        </is>
      </c>
      <c r="G144" s="12" t="inlineStr">
        <is>
          <t>Narrative</t>
        </is>
      </c>
      <c r="H144" s="12" t="inlineStr">
        <is>
          <t>Characterization of how the figure arose</t>
        </is>
      </c>
      <c r="I144" s="12" t="inlineStr">
        <is>
          <t>n/a</t>
        </is>
      </c>
      <c r="J144" s="12" t="inlineStr">
        <is>
          <t>n/a</t>
        </is>
      </c>
      <c r="K144" s="12" t="inlineStr">
        <is>
          <t>n/a</t>
        </is>
      </c>
      <c r="L144" s="12" t="inlineStr">
        <is>
          <t>not scenario-dependent</t>
        </is>
      </c>
      <c r="M144" s="12" t="inlineStr">
        <is>
          <t>SUPERSEDED September 27, 2026. The claim ('construction, not intent') remains in the note. The row's support does not: 'a figure engineered to persuade would not understate itself' rested on SB-07's reversed premise that consistent arithmetic gives a larger number, and on the quick-assembly inference the note removed (B-5). Removed or reversed by: the first adversarial review (D-14). Replaced by: SB-25. Original cross-check, retained for the record: Internal: SB-07's asymmetry supports the reading, since a figure engineered to persuade would not understate itself. This is an inference about motive and cannot be verified either way</t>
        </is>
      </c>
      <c r="N144" s="12" t="inlineStr">
        <is>
          <t>SUPERSEDED — motive reasoning withdrawn; replaced by SB-25</t>
        </is>
      </c>
    </row>
    <row r="145" ht="126.75" customHeight="1" s="10">
      <c r="A145" s="12" t="inlineStr">
        <is>
          <t>3. The $681B construction</t>
        </is>
      </c>
      <c r="B145" s="13" t="inlineStr">
        <is>
          <t>SB-14</t>
        </is>
      </c>
      <c r="C145" s="12" t="inlineStr">
        <is>
          <t>CBO estimates that Section 71115 would reduce federal Medicaid outlays by $191.1B and Section 71116 by $149.4B over fiscal years 2025–2034, in dollars not adjusted for inflation</t>
        </is>
      </c>
      <c r="D145" s="12" t="inlineStr">
        <is>
          <t>third-party estimate [E]</t>
        </is>
      </c>
      <c r="E145" s="12" t="inlineStr">
        <is>
          <t>CBO</t>
        </is>
      </c>
      <c r="F145" s="12" t="inlineStr">
        <is>
          <t>CBO, July 21, 2025, Table 7 (Sec. 71115 outlays −$191,118 million; Sec. 71116 −$149,424 million); CBO, October 28, 2025, pp. 4–5; note sec. 5</t>
        </is>
      </c>
      <c r="G145" s="12" t="inlineStr">
        <is>
          <t>Sec. 71115 outlays −$191,118 million; Sec. 71116 outlays −$149,424 million, FY2025–2034</t>
        </is>
      </c>
      <c r="H145" s="12" t="inlineStr">
        <is>
          <t>Federal Medicaid outlay reduction</t>
        </is>
      </c>
      <c r="I145" s="12" t="inlineStr">
        <is>
          <t>federal only</t>
        </is>
      </c>
      <c r="J145" s="12" t="inlineStr">
        <is>
          <t>FY2025–2034</t>
        </is>
      </c>
      <c r="K145" s="12" t="inlineStr">
        <is>
          <t>nominal</t>
        </is>
      </c>
      <c r="L145" s="12" t="inlineStr">
        <is>
          <t>not scenario-dependent (enacted law)</t>
        </is>
      </c>
      <c r="M145" s="12" t="inlineStr">
        <is>
          <t>Internal: 191.118 − 8.424 = 182.694, closing to CBO's $182.7B net deficit figure (SB-09). CRS attributes the estimate to P.L. 119-21, the enacted law. This is the $191.1B the Georgetown CCF comment uses (TP-18); it and the $182.7B are one estimate on two measures, not two vintages (SB-17, D-13). Stated in note sec. 1 and sec. 3b UPDATED October 11, 2026: v17 cites CBO's July 21, 2025 Table 7 and October 28, 2025 pp. 4–5 directly in place of CRS R48633 (decision 4 of the log), and puts both sections in one sentence; SB-17 holds the sum. Round 2 confirmed the components in CBO's cells (O253, O257, O850). Previous wording: 'CBO estimates that Sec. 71115 reduces federal Medicaid outlays by $191.1B over FY2025–2034'</t>
        </is>
      </c>
      <c r="N145" s="12" t="inlineStr">
        <is>
          <t>verified — Round 2 (CBO cells)</t>
        </is>
      </c>
    </row>
    <row r="146" ht="105.75" customHeight="1" s="10">
      <c r="A146" s="12" t="inlineStr">
        <is>
          <t>3. The $681B construction</t>
        </is>
      </c>
      <c r="B146" s="13" t="inlineStr">
        <is>
          <t>SB-15</t>
        </is>
      </c>
      <c r="C146" s="12" t="inlineStr">
        <is>
          <t>Section 71115 reduces federal revenues by $8.4B over FY2025–2034, the difference between CBO's outlay figure and its deficit figure for the section</t>
        </is>
      </c>
      <c r="D146" s="12" t="inlineStr">
        <is>
          <t>third-party estimate [E]</t>
        </is>
      </c>
      <c r="E146" s="12" t="inlineStr">
        <is>
          <t>CBO, as reported by CRS</t>
        </is>
      </c>
      <c r="F146" s="12" t="inlineStr">
        <is>
          <t>CBO, October 28, 2025, pp. 4–5; CBO, July 21, 2025, Table 7 (revenue cell O850); note App. F</t>
        </is>
      </c>
      <c r="G146" s="12" t="inlineStr">
        <is>
          <t>Sec. 71115 revenues −$8,424 million</t>
        </is>
      </c>
      <c r="H146" s="12" t="inlineStr">
        <is>
          <t>Federal revenue effect of the statute</t>
        </is>
      </c>
      <c r="I146" s="12" t="inlineStr">
        <is>
          <t>federal only</t>
        </is>
      </c>
      <c r="J146" s="12" t="inlineStr">
        <is>
          <t>FY2025–2034</t>
        </is>
      </c>
      <c r="K146" s="12" t="inlineStr">
        <is>
          <t>nominal</t>
        </is>
      </c>
      <c r="L146" s="12" t="inlineStr">
        <is>
          <t>not scenario-dependent (enacted law)</t>
        </is>
      </c>
      <c r="M146" s="12" t="inlineStr">
        <is>
          <t>Internal: the revenue effect is the whole difference between CBO's outlay figure (SB-14) and deficit figure (SB-09) for Sec. 71115: 191.118 − 8.424 = 182.694. For Sec. 71116, outlays and deficit are both $149.4B because revenue is $0. Stated in note sec. 1 UPDATED October 11, 2026: v17 states the $8.4B revenue loss for Section 71115 only (App. F); the clause 'Sec. 71116 has no revenue effect' is no longer stated. Source moved from CRS R48633 to CBO directly. Previous wording: 'Sec. 71115 also reduces federal revenues by $8.4B over FY2025–2034; Sec. 71116 has no revenue effect'</t>
        </is>
      </c>
      <c r="N146" s="12" t="inlineStr">
        <is>
          <t>verified — Round 2 (CBO cells)</t>
        </is>
      </c>
    </row>
    <row r="147" ht="116.25" customHeight="1" s="10">
      <c r="A147" s="12" t="inlineStr">
        <is>
          <t>3. The $681B construction</t>
        </is>
      </c>
      <c r="B147" s="13" t="inlineStr">
        <is>
          <t>SB-16</t>
        </is>
      </c>
      <c r="C147" s="12" t="inlineStr">
        <is>
          <t>CBO's outlay estimates for Sections 71115 and 71116 sum to $340.5B, the source of POLITICO's rounded $340B</t>
        </is>
      </c>
      <c r="D147" s="12" t="inlineStr">
        <is>
          <t>derived arithmetic</t>
        </is>
      </c>
      <c r="E147" s="12" t="inlineStr">
        <is>
          <t>CBO, as reported by CRS</t>
        </is>
      </c>
      <c r="F147" s="12" t="inlineStr">
        <is>
          <t>CRS R48633</t>
        </is>
      </c>
      <c r="G147" s="12" t="inlineStr">
        <is>
          <t>Outlays −$191,118 million (Sec. 71115) and −$149,424 million (Sec. 71116)</t>
        </is>
      </c>
      <c r="H147" s="12" t="inlineStr">
        <is>
          <t>Combined federal Medicaid outlay reduction from the two statutory sections</t>
        </is>
      </c>
      <c r="I147" s="12" t="inlineStr">
        <is>
          <t>federal only</t>
        </is>
      </c>
      <c r="J147" s="12" t="inlineStr">
        <is>
          <t>FY2025–2034</t>
        </is>
      </c>
      <c r="K147" s="12" t="inlineStr">
        <is>
          <t>nominal</t>
        </is>
      </c>
      <c r="L147" s="12" t="inlineStr">
        <is>
          <t>not scenario-dependent (enacted law)</t>
        </is>
      </c>
      <c r="M147" s="12" t="inlineStr">
        <is>
          <t>SUPERSEDED September 27, 2026. The row calls CBO's $340.5B 'the source of POLITICO's rounded $340B'. The note does not say so. It says the $340B matches CBO's figure to rounding and that the article names no source. The $340.5B sum is unchanged. Removed or reversed by: the adversarial review cycle (D-14, D-15); the supplied materials do not say which pass. Replaced by: SB-17 and SB-18. Original cross-check, retained for the record: Internal: 191.118 + 149.424 = 340.542, stated as $340.5B in note sec. 1 and sec. 3b; rounds to POLITICO's $340B (SB-02). The corresponding deficit combination is $332.1B (SB-09), which the note no longer uses</t>
        </is>
      </c>
      <c r="N147" s="12" t="inlineStr">
        <is>
          <t>SUPERSEDED — source attribution withdrawn; replaced by SB-17 and SB-18</t>
        </is>
      </c>
    </row>
    <row r="148" ht="74.25" customHeight="1" s="10">
      <c r="A148" s="12" t="inlineStr">
        <is>
          <t>3. The $681B construction</t>
        </is>
      </c>
      <c r="B148" s="13" t="inlineStr">
        <is>
          <t>SB-17</t>
        </is>
      </c>
      <c r="C148" s="12" t="inlineStr">
        <is>
          <t>CBO's outlay estimates for Sections 71115 and 71116 sum to $340.5B, a sum CBO does not print; POLITICO's $340B matches it</t>
        </is>
      </c>
      <c r="D148" s="12" t="inlineStr">
        <is>
          <t>derived arithmetic [I]</t>
        </is>
      </c>
      <c r="E148" s="12" t="inlineStr">
        <is>
          <t>CBO, as reported by CRS</t>
        </is>
      </c>
      <c r="F148" s="12" t="inlineStr">
        <is>
          <t>CBO, July 21, 2025, Table 7; CBO, October 28, 2025, pp. 4–5; note sec. 5</t>
        </is>
      </c>
      <c r="G148" s="12" t="inlineStr">
        <is>
          <t>Outlays −$191,118 million (Sec. 71115) and −$149,424 million (Sec. 71116)</t>
        </is>
      </c>
      <c r="H148" s="12" t="inlineStr">
        <is>
          <t>Combined federal Medicaid outlay reduction from the two statutory sections</t>
        </is>
      </c>
      <c r="I148" s="12" t="inlineStr">
        <is>
          <t>federal only</t>
        </is>
      </c>
      <c r="J148" s="12" t="inlineStr">
        <is>
          <t>FY2025–2034</t>
        </is>
      </c>
      <c r="K148" s="12" t="inlineStr">
        <is>
          <t>nominal</t>
        </is>
      </c>
      <c r="L148" s="12" t="inlineStr">
        <is>
          <t>not scenario-dependent (enacted law)</t>
        </is>
      </c>
      <c r="M148" s="12" t="inlineStr">
        <is>
          <t>Internal: 191.118 + 149.424 = 340.542. Stated in note sec. 1 and sec. 3b. Replaces SB-16 without its source attribution (SB-18) UPDATED October 11, 2026: v17 adds that CBO does not print the $340.5B (Round 2: 191,118 + 149,424 = 340,542; printed in neither CBO file) and cites CBO directly in place of CRS R48633. Previous wording: 'CBO's outlay estimates for Sections 71115 and 71116 sum to $340.5B'</t>
        </is>
      </c>
      <c r="N148" s="12" t="inlineStr">
        <is>
          <t>verified — Round 2</t>
        </is>
      </c>
    </row>
    <row r="149" ht="116.25" customHeight="1" s="10">
      <c r="A149" s="12" t="inlineStr">
        <is>
          <t>3. The $681B construction</t>
        </is>
      </c>
      <c r="B149" s="13" t="inlineStr">
        <is>
          <t>SB-18</t>
        </is>
      </c>
      <c r="C149" s="12" t="inlineStr">
        <is>
          <t>The article names no source for the $340B; POLITICO's $340B matches, to rounding, the $340.5B sum of CBO's outlay estimates for Sections 71115 and 71116</t>
        </is>
      </c>
      <c r="D149" s="12" t="inlineStr">
        <is>
          <t>derived arithmetic + negative claim [I]</t>
        </is>
      </c>
      <c r="E149" s="12" t="inlineStr">
        <is>
          <t>POLITICO; CBO</t>
        </is>
      </c>
      <c r="F149" s="12" t="inlineStr">
        <is>
          <t>POLITICO, Sept 2, 2026; CBO, July 21, 2025, Table 7; note sec. 5</t>
        </is>
      </c>
      <c r="G149" s="12" t="inlineStr">
        <is>
          <t>Note sec. 5: 'The article names no source for the $340 billion.'</t>
        </is>
      </c>
      <c r="H149" s="12" t="inlineStr">
        <is>
          <t>Correspondence between POLITICO's $340B and CBO's figure</t>
        </is>
      </c>
      <c r="I149" s="12" t="inlineStr">
        <is>
          <t>federal only</t>
        </is>
      </c>
      <c r="J149" s="12" t="inlineStr">
        <is>
          <t>through 2034</t>
        </is>
      </c>
      <c r="K149" s="12" t="inlineStr">
        <is>
          <t>nominal</t>
        </is>
      </c>
      <c r="L149" s="12" t="inlineStr">
        <is>
          <t>not scenario-dependent</t>
        </is>
      </c>
      <c r="M149" s="12" t="inlineStr">
        <is>
          <t>Internal: 340.5 rounds to 340. The article's framing ('hospitals expected to lose $340 billion through 2034', SB-02) names no source. The match is [FIRM]'s identification, not the article's attribution. Replaces SB-08 UPDATED October 11, 2026: v17 words the first limb as a plain [I] search result ('names no source') and drops the clause 'attributes it to hospitals' expectations'. Source moved from CRS R48633 to CBO directly. Previous wording: 'The $340B matches, to rounding, CBO's $340.5B outlay estimate for Sections 71115 and 71116; the article attributes it to hospitals' expectations and does not name a source'</t>
        </is>
      </c>
      <c r="N149" s="12" t="inlineStr">
        <is>
          <t>verified as scoped - the match is arithmetic; 'names no source' is a reading of one article — NEEDS VERIFICATION [DL3] POLITICO, September 2, 2026 is on the decision-log re-check list (secs. 5–6; App. H).</t>
        </is>
      </c>
    </row>
    <row r="150" ht="126.75" customHeight="1" s="10">
      <c r="A150" s="12" t="inlineStr">
        <is>
          <t>3. The $681B construction</t>
        </is>
      </c>
      <c r="B150" s="13" t="inlineStr">
        <is>
          <t>SB-19</t>
        </is>
      </c>
      <c r="C150" s="12" t="inlineStr">
        <is>
          <t>The article showed its arithmetic, which is what makes it checkable</t>
        </is>
      </c>
      <c r="D150" s="12" t="inlineStr">
        <is>
          <t>contextual - interpretive</t>
        </is>
      </c>
      <c r="E150" s="12" t="inlineStr">
        <is>
          <t>POLITICO</t>
        </is>
      </c>
      <c r="F150" s="12" t="inlineStr">
        <is>
          <t>Sept 2, 2026</t>
        </is>
      </c>
      <c r="G150" s="12" t="inlineStr">
        <is>
          <t>Note sec. 3b</t>
        </is>
      </c>
      <c r="H150" s="12" t="inlineStr">
        <is>
          <t>Transparency of the construction</t>
        </is>
      </c>
      <c r="I150" s="12" t="inlineStr">
        <is>
          <t>n/a</t>
        </is>
      </c>
      <c r="J150" s="12" t="inlineStr">
        <is>
          <t>n/a</t>
        </is>
      </c>
      <c r="K150" s="12" t="inlineStr">
        <is>
          <t>n/a</t>
        </is>
      </c>
      <c r="L150" s="12" t="inlineStr">
        <is>
          <t>not scenario-dependent</t>
        </is>
      </c>
      <c r="M150" s="12" t="inlineStr">
        <is>
          <t>SUPERSEDED October 11, 2026. v17 does not say the article showed its arithmetic or that this makes it checkable. It reports the article's components (hospitals had expected to lose $340B; about $756B federal and $265B state savings through 2035) and that the article names no source for the $340B. The arithmetic (756 + 265 − 340 = 681) remains true at SB-02. Removed or reversed by: the revisions between the v9 sync and v17 (the supplied decision log and change map do not identify which revision removed the statement). Replaced by: none (removed, not reversed). Original cross-check, retained for the record: Internal: 756 + 265 − 340 = 681 exactly (SB-02)</t>
        </is>
      </c>
      <c r="N150" s="12" t="inlineStr">
        <is>
          <t>SUPERSEDED — no longer a note claim</t>
        </is>
      </c>
    </row>
    <row r="151" ht="157.5" customHeight="1" s="10">
      <c r="A151" s="12" t="inlineStr">
        <is>
          <t>3. The $681B construction</t>
        </is>
      </c>
      <c r="B151" s="13" t="inlineStr">
        <is>
          <t>SB-20</t>
        </is>
      </c>
      <c r="C151" s="12" t="inlineStr">
        <is>
          <t>A gap between government savings estimates measures provider payments before tax relief, across all provider types, not a net hospital loss</t>
        </is>
      </c>
      <c r="D151" s="12" t="inlineStr">
        <is>
          <t>derived arithmetic - interpretive [I]</t>
        </is>
      </c>
      <c r="E151" s="12" t="inlineStr">
        <is>
          <t>Both RIAs; CBO via CRS</t>
        </is>
      </c>
      <c r="F151" s="12" t="inlineStr">
        <is>
          <t>Note sec. 5 ('POLITICO's CMS inputs mix scopes')</t>
        </is>
      </c>
      <c r="G151" s="12" t="inlineStr">
        <is>
          <t>Note sec. 5</t>
        </is>
      </c>
      <c r="H151" s="12" t="inlineStr">
        <is>
          <t>What a difference of government savings can measure</t>
        </is>
      </c>
      <c r="I151" s="12" t="inlineStr">
        <is>
          <t>mixed</t>
        </is>
      </c>
      <c r="J151" s="12" t="inlineStr">
        <is>
          <t>mixed</t>
        </is>
      </c>
      <c r="K151" s="12" t="inlineStr">
        <is>
          <t>mixed</t>
        </is>
      </c>
      <c r="L151" s="12" t="inlineStr">
        <is>
          <t>primary</t>
        </is>
      </c>
      <c r="M151" s="12" t="inlineStr">
        <is>
          <t>Supported by CE-50 (government savings equal the provider payments a rule removes, so a difference is at most a gross provider quantity), CE-36 (tax relief not yet netted), CE-51 (all provider types) and SB-21 (bases differ). This is the narrower statement that replaced an earlier 'not a hospital loss under any alignment' wording; no ledger row had recorded that wording UPDATED October 11, 2026: v17 states the conclusion in one sentence and no longer says the two sides 'are not on the same basis' in that sentence; the basis differences are at SB-26. Previous wording: 'The $756B and the $265B are government savings. A difference between two government savings estimates is at most a gross provider-payment quantity, before tax relief and across all provider types; it is not a net hospital loss, and here the two sides are not on the same basis'</t>
        </is>
      </c>
      <c r="N151" s="12" t="inlineStr">
        <is>
          <t>verified</t>
        </is>
      </c>
    </row>
    <row r="152" ht="220.5" customHeight="1" s="10">
      <c r="A152" s="12" t="inlineStr">
        <is>
          <t>3. The $681B construction</t>
        </is>
      </c>
      <c r="B152" s="13" t="inlineStr">
        <is>
          <t>SB-21</t>
        </is>
      </c>
      <c r="C152" s="12" t="inlineStr">
        <is>
          <t>Both sides of the subtraction estimate the same statutory sections, as the article intends, but on incompatible bases: the CBO figure is nominal, covers FY2025–2034 and is federal only, while CMS's rule estimates are in real 2026 dollars, cover FY2026–2035 and include total computable amounts. CBO and CMS differ on at least five axes: baseline; nominal versus real dollars; fiscal versus calendar year framing; statutory scoring versus regulatory implementation; and enrollment and behavioral assumptions</t>
        </is>
      </c>
      <c r="D152" s="12" t="inlineStr">
        <is>
          <t>derived arithmetic</t>
        </is>
      </c>
      <c r="E152" s="12" t="inlineStr">
        <is>
          <t>CBO and both RIAs</t>
        </is>
      </c>
      <c r="F152" s="12" t="inlineStr">
        <is>
          <t>Note sec. 3b; footnote 4</t>
        </is>
      </c>
      <c r="G152" s="12" t="inlineStr">
        <is>
          <t>Footnote 4</t>
        </is>
      </c>
      <c r="H152" s="12" t="inlineStr">
        <is>
          <t>Basis incomparability</t>
        </is>
      </c>
      <c r="I152" s="12" t="inlineStr">
        <is>
          <t>federal only vs total computable</t>
        </is>
      </c>
      <c r="J152" s="12" t="inlineStr">
        <is>
          <t>2025–2034 vs 2026–2035</t>
        </is>
      </c>
      <c r="K152" s="12" t="inlineStr">
        <is>
          <t>nominal vs real 2026</t>
        </is>
      </c>
      <c r="L152" s="12" t="inlineStr">
        <is>
          <t>statutory score vs regulatory estimate</t>
        </is>
      </c>
      <c r="M152" s="12" t="inlineStr">
        <is>
          <t>SUPERSEDED October 11, 2026. v17 has no footnotes and no longer lists five axes (baseline; nominal versus real dollars; fiscal versus calendar year framing; statutory scoring versus regulatory implementation; enrollment and behavioral assumptions). It says CMS-based figures differ from CBO's section figures in years, dollars and baseline, that year bases may differ, that the direction of the remaining differences is unknown, and that the enrollment difference is not listed as a cause because the verification files do not show which way it moves the comparison (App. F). Removed or reversed by: the revisions between the v9 sync and v17 (the supplied decision log and change map do not identify which revision removed footnote 4). Replaced by: SB-26 (differences v17 states) and SB-24 (enrollment). Original cross-check, retained for the record: Footnote 4's five axes as printed. 'Federal-only versus total computable' is no longer a footnote axis, because CMS prints federal shares (Table 19 of CMS-2449-P; Table 11 of CMS-2452-P); the scope difference is still stated in sec. 3b's body. The enrollment axis corresponds to SB-24. 'As the article intends' reflects D-15's reading of the article's thesis. Replaces SB-10</t>
        </is>
      </c>
      <c r="N152" s="12" t="inlineStr">
        <is>
          <t>SUPERSEDED — five-axis footnote gone; replaced by SB-26</t>
        </is>
      </c>
    </row>
    <row r="153" ht="126.75" customHeight="1" s="10">
      <c r="A153" s="12" t="inlineStr">
        <is>
          <t>3. The $681B construction</t>
        </is>
      </c>
      <c r="B153" s="13" t="inlineStr">
        <is>
          <t>SB-22</t>
        </is>
      </c>
      <c r="C153" s="12" t="inlineStr">
        <is>
          <t>POLITICO's CMS inputs mix scopes: its $756B is both rules' federal savings measured alone, and its $265B is the SDP rule's state spending reduction alone</t>
        </is>
      </c>
      <c r="D153" s="12" t="inlineStr">
        <is>
          <t>derived arithmetic [I]</t>
        </is>
      </c>
      <c r="E153" s="12" t="inlineStr">
        <is>
          <t>CMS-2449-P Table 19, 20; CMS-2452-P Table 11</t>
        </is>
      </c>
      <c r="F153" s="12" t="inlineStr">
        <is>
          <t>91 FR 30452, 46591–46592; note sec. 5</t>
        </is>
      </c>
      <c r="G153" s="12" t="inlineStr">
        <is>
          <t>Note sec. 5</t>
        </is>
      </c>
      <c r="H153" s="12" t="inlineStr">
        <is>
          <t>Internal inconsistency of scope within one subtraction</t>
        </is>
      </c>
      <c r="I153" s="12" t="inlineStr">
        <is>
          <t>mixed</t>
        </is>
      </c>
      <c r="J153" s="12" t="inlineStr">
        <is>
          <t>FY2026–2035</t>
        </is>
      </c>
      <c r="K153" s="12" t="inlineStr">
        <is>
          <t>real 2026 dollars</t>
        </is>
      </c>
      <c r="L153" s="12" t="inlineStr">
        <is>
          <t>primary</t>
        </is>
      </c>
      <c r="M153" s="12" t="inlineStr">
        <is>
          <t>Internal: federal side 510.1 + 245.8 = 755.9 (both rules); state side 264.7 (SDP rule only; 138.2 absent). The note gives no corrected figure and states no direction of change. Replaces SB-07, whose 'larger figure' reading was reversed (D-14) UPDATED October 11, 2026: v17 states the scope mix but no longer says that correcting it 'would change the figure, but not the mismatch between the bases of its two sides', and gives no direction of change. Previous wording: 'The construction takes both rules on the federal side and only one on the state side; correcting that scope asymmetry would change the figure, but not the mismatch between the bases of its two sides'</t>
        </is>
      </c>
      <c r="N153" s="12" t="inlineStr">
        <is>
          <t>verified</t>
        </is>
      </c>
    </row>
    <row r="154" ht="189" customHeight="1" s="10">
      <c r="A154" s="12" t="inlineStr">
        <is>
          <t>3. The $681B construction</t>
        </is>
      </c>
      <c r="B154" s="13" t="inlineStr">
        <is>
          <t>SB-23</t>
        </is>
      </c>
      <c r="C154" s="12" t="inlineStr">
        <is>
          <t>On a federal, overlap-adjusted basis, CMS's two estimates total $601.0B against CBO's $340.5B for the statute. That is a gap between two estimates of the same statutory sections; it does not show that the rules go beyond the statute, which neither RIA isolates, and the footnote 4 axes, including baseline, leave its cause unresolved</t>
        </is>
      </c>
      <c r="D154" s="12" t="inlineStr">
        <is>
          <t>derived arithmetic</t>
        </is>
      </c>
      <c r="E154" s="12" t="inlineStr">
        <is>
          <t>CMS-2449-P Table 19; CMS-2452-P Table 14; CRS R48633</t>
        </is>
      </c>
      <c r="F154" s="12" t="inlineStr">
        <is>
          <t>R0177, R0757 (and R1013); CRS R48633</t>
        </is>
      </c>
      <c r="G154" s="12" t="inlineStr">
        <is>
          <t>Note sec. 3b</t>
        </is>
      </c>
      <c r="H154" s="12" t="inlineStr">
        <is>
          <t>Federal overlap-adjusted CMS total against CBO's outlay estimate</t>
        </is>
      </c>
      <c r="I154" s="12" t="inlineStr">
        <is>
          <t>federal only</t>
        </is>
      </c>
      <c r="J154" s="12" t="inlineStr">
        <is>
          <t>FY2026–2035 vs FY2025–2034</t>
        </is>
      </c>
      <c r="K154" s="12" t="inlineStr">
        <is>
          <t>real 2026 vs nominal</t>
        </is>
      </c>
      <c r="L154" s="12" t="inlineStr">
        <is>
          <t>primary, overlap-adjusted</t>
        </is>
      </c>
      <c r="M154" s="12" t="inlineStr">
        <is>
          <t>SUPERSEDED October 11, 2026. The row compares CMS's overlap-adjusted $601.0B with CBO's $340.5B as 'a gap between two estimates of the same statutory sections'. v17 says $601.0B has no CBO counterpart: CBO's section figures exclude the interaction between the sections (on THEIA's reading of the table layout), so the comparable CMS figure is the no-interaction total, $755.9B for 2026–2035 ($630.9B without 2035). v17 also states that only CMS's extra year lowers its figure, and that removing the interaction or converting dollars raises it. Removed or reversed by: the revisions between the v9 sync and v17 (the CMS–CBO reconciliation of the public-comment review, decision 1 of the log and Round 3 item 2; the supplied materials do not identify the single revision). Replaced by: SB-27, SB-28, SB-29 and SB-30. Original cross-check, retained for the record: Internal: 510.1 + 90.9 = 601.0; equivalently 755.9 − 154.9 = 601.0. 601.0 − 340.5 = 260.5 is not stated in the note and is not meaningful across the footnote 4 axes. Negative limb per CE-43</t>
        </is>
      </c>
      <c r="N154" s="12" t="inlineStr">
        <is>
          <t>SUPERSEDED — $601.0B vs $340.5B comparison reversed; replaced by SB-27 to SB-30</t>
        </is>
      </c>
    </row>
    <row r="155" ht="137.25" customHeight="1" s="10">
      <c r="A155" s="12" t="inlineStr">
        <is>
          <t>3. The $681B construction</t>
        </is>
      </c>
      <c r="B155" s="13" t="inlineStr">
        <is>
          <t>SB-24</t>
        </is>
      </c>
      <c r="C155" s="12" t="inlineStr">
        <is>
          <t>CBO expects Section 71115 to add 1.1 million people to the uninsured in 2034 and Section 71116 to add none, while CMS assumes the provider tax rule has no effect on enrollment; the verification files do not show which way this difference moves the comparison, so the note does not list it as a cause</t>
        </is>
      </c>
      <c r="D155" s="12" t="inlineStr">
        <is>
          <t>contextual - inference [E]/[I]</t>
        </is>
      </c>
      <c r="E155" s="12" t="inlineStr">
        <is>
          <t>CBO; both RIAs</t>
        </is>
      </c>
      <c r="F155" s="12" t="inlineStr">
        <is>
          <t>CBO, October 28, 2025, pp. 4–5; 91 FR 46590; note App. F ('Draft note, coverage')</t>
        </is>
      </c>
      <c r="G155" s="12" t="inlineStr">
        <is>
          <t>'the number of people without health insurance will increase by 1.1 million in 2034' (CBO, p. 5); 'we estimate that this proposed rule would have no effect on enrollment' (CMS, 91 FR 46590)</t>
        </is>
      </c>
      <c r="H155" s="12" t="inlineStr">
        <is>
          <t>Difference in modelled behavior between the statutory score and the rule estimates</t>
        </is>
      </c>
      <c r="I155" s="12" t="inlineStr">
        <is>
          <t>federal</t>
        </is>
      </c>
      <c r="J155" s="12" t="inlineStr">
        <is>
          <t>FY2025–2034 vs FY2026–2035</t>
        </is>
      </c>
      <c r="K155" s="12" t="inlineStr">
        <is>
          <t>n/a</t>
        </is>
      </c>
      <c r="L155" s="12" t="inlineStr">
        <is>
          <t>not scenario-dependent</t>
        </is>
      </c>
      <c r="M155" s="12" t="inlineStr">
        <is>
          <t>The CMS limb is consistent with the worksheet, which carries no enrollment-effect series in either RIA. The CBO limb was not re-checked against CBO's estimate for this ledger. Corresponds to footnote 4's fifth axis (SB-21) UPDATED October 11, 2026: Both limbs are now confirmed (verification summary, F-005 and Round 2). The earlier wording said CMS's estimates 'do not model' enrollment; the verification qualified this: CMS assumes zero enrollment effect, which is not the same as not modeling it. CBO's 2.4 million enrollment drop for Section 71115 is statute-level and does not conflict with CMS's rule-level zero. Previous wording: 'CBO's outlays reflect projected enrollment effects, which CMS's rule estimates do not model'</t>
        </is>
      </c>
      <c r="N155" s="12" t="inlineStr">
        <is>
          <t>verified — F-005 (CMS and CBO limbs)</t>
        </is>
      </c>
    </row>
    <row r="156" ht="157.5" customHeight="1" s="10">
      <c r="A156" s="12" t="inlineStr">
        <is>
          <t>3. The $681B construction</t>
        </is>
      </c>
      <c r="B156" s="13" t="inlineStr">
        <is>
          <t>SB-25</t>
        </is>
      </c>
      <c r="C156" s="12" t="inlineStr">
        <is>
          <t>The figure is attributed to construction, not intent</t>
        </is>
      </c>
      <c r="D156" s="12" t="inlineStr">
        <is>
          <t>contextual - interpretive</t>
        </is>
      </c>
      <c r="E156" s="12" t="inlineStr">
        <is>
          <t>[FIRM]</t>
        </is>
      </c>
      <c r="F156" s="12" t="inlineStr">
        <is>
          <t>Note sec. 3b</t>
        </is>
      </c>
      <c r="G156" s="12" t="inlineStr">
        <is>
          <t>"We attribute all of this to construction, not intent."</t>
        </is>
      </c>
      <c r="H156" s="12" t="inlineStr">
        <is>
          <t>Characterization of how the figure arose</t>
        </is>
      </c>
      <c r="I156" s="12" t="inlineStr">
        <is>
          <t>n/a</t>
        </is>
      </c>
      <c r="J156" s="12" t="inlineStr">
        <is>
          <t>n/a</t>
        </is>
      </c>
      <c r="K156" s="12" t="inlineStr">
        <is>
          <t>n/a</t>
        </is>
      </c>
      <c r="L156" s="12" t="inlineStr">
        <is>
          <t>not scenario-dependent</t>
        </is>
      </c>
      <c r="M156" s="12" t="inlineStr">
        <is>
          <t>SUPERSEDED October 11, 2026. v17 does not say 'We attribute all of this to construction, not intent' or any equivalent; sec. 5 says only that POLITICO's $681 billion compares two estimates on mismatched bases and that its CMS inputs mix scopes. The row's own cross-check already recorded that the claim could not be verified either way. Removed or reversed by: the revisions between the v9 sync and v17 (the supplied decision log and change map do not identify which revision removed the sentence). Replaced by: none (removed, not reversed); the mismatch-of-bases statement is at SB-01 and SB-26. Original cross-check, retained for the record: An interpretive statement with no motive argument attached. The ledger no longer supports it with SB-07's asymmetry or a quick-assembly inference, both withdrawn (SB-13, B-5). Replaces SB-13</t>
        </is>
      </c>
      <c r="N156" s="12" t="inlineStr">
        <is>
          <t>SUPERSEDED — 'construction, not intent' no longer stated</t>
        </is>
      </c>
    </row>
    <row r="157" ht="63.75" customHeight="1" s="10">
      <c r="A157" s="12" t="inlineStr">
        <is>
          <t>3. The $681B construction</t>
        </is>
      </c>
      <c r="B157" s="13" t="inlineStr">
        <is>
          <t>SB-26</t>
        </is>
      </c>
      <c r="C157" s="12" t="inlineStr">
        <is>
          <t>POLITICO's CMS inputs differ from CBO's section figures in years, dollars and baseline; year bases may also differ (sec. 3); the direction of the remaining differences, what the provider tax rule adds to Section 71115 and the agencies' comparison projections, is unknown, so the rest of the gap between these published estimates is unresolved</t>
        </is>
      </c>
      <c r="D157" s="12" t="inlineStr">
        <is>
          <t>derived arithmetic - interpretive [I]</t>
        </is>
      </c>
      <c r="E157" s="12" t="inlineStr">
        <is>
          <t>CMS RIAs; CBO</t>
        </is>
      </c>
      <c r="F157" s="12" t="inlineStr">
        <is>
          <t>Note sec. 5 (POLITICO paragraphs 3–4)</t>
        </is>
      </c>
      <c r="G157" s="12" t="inlineStr">
        <is>
          <t>Note sec. 5</t>
        </is>
      </c>
      <c r="H157" s="12" t="inlineStr">
        <is>
          <t>Basis differences between the CMS-derived and CBO figures</t>
        </is>
      </c>
      <c r="I157" s="12" t="inlineStr">
        <is>
          <t>federal</t>
        </is>
      </c>
      <c r="J157" s="12" t="inlineStr">
        <is>
          <t>FY2026–2035 vs FY2025–2034</t>
        </is>
      </c>
      <c r="K157" s="12" t="inlineStr">
        <is>
          <t>real 2026 vs nominal</t>
        </is>
      </c>
      <c r="L157" s="12" t="inlineStr">
        <is>
          <t>central vs statutory score</t>
        </is>
      </c>
      <c r="M157" s="12" t="inlineStr">
        <is>
          <t>Replaces SB-21. Years and dollars are at SB-14 and CE-01; the baseline at CE-43; the year basis at CE-59. v17 does not list enrollment as a cause (SB-24).</t>
        </is>
      </c>
      <c r="N157" s="12" t="inlineStr">
        <is>
          <t>verified as inference</t>
        </is>
      </c>
    </row>
    <row r="158" ht="74.25" customHeight="1" s="10">
      <c r="A158" s="12" t="inlineStr">
        <is>
          <t>3. The $681B construction</t>
        </is>
      </c>
      <c r="B158" s="13" t="inlineStr">
        <is>
          <t>SB-27</t>
        </is>
      </c>
      <c r="C158" s="12" t="inlineStr">
        <is>
          <t>CBO reports Sections 71115 and 71116 one at a time (October 28, 2025, pp. 4–5) and puts the remaining Medicaid policies and all interactions among the chapter's policies in one separate line (p. 6); its July 2025 table shows interactions for the health subtitle as their own row and prints no figure for the interaction between the two sections (Table 7)</t>
        </is>
      </c>
      <c r="D158" s="12" t="inlineStr">
        <is>
          <t>third-party estimate [E]</t>
        </is>
      </c>
      <c r="E158" s="12" t="inlineStr">
        <is>
          <t>CBO</t>
        </is>
      </c>
      <c r="F158" s="12" t="inlineStr">
        <is>
          <t>CBO, October 28, 2025, pp. 4–6; CBO, July 21, 2025, Table 7 (sheet 'Title VII', row 339, cells O341 and O929); note sec. 5, App. F ('Draft note, how CBO handles interactions')</t>
        </is>
      </c>
      <c r="G158" s="12" t="inlineStr">
        <is>
          <t>'accounting for interactions among all of the related policies, will, on net, decrease deficits by $60.1 billion' (p. 6)</t>
        </is>
      </c>
      <c r="H158" s="12" t="inlineStr">
        <is>
          <t>How CBO presents interactions</t>
        </is>
      </c>
      <c r="I158" s="12" t="inlineStr">
        <is>
          <t>federal</t>
        </is>
      </c>
      <c r="J158" s="12" t="inlineStr">
        <is>
          <t>FY2025–2034</t>
        </is>
      </c>
      <c r="K158" s="12" t="inlineStr">
        <is>
          <t>nominal</t>
        </is>
      </c>
      <c r="L158" s="12" t="inlineStr">
        <is>
          <t>not scenario-dependent (enacted law)</t>
        </is>
      </c>
      <c r="M158" s="12" t="inlineStr">
        <is>
          <t>Round 3 item 2 confirmed: sections reported one at a time (pp. 4–5); one $60.1B line for the remaining Medicaid policies and interactions (p. 6); the July 2025 table shows 'Interactions of Health Policies in Subtitle B': outlays 95,448 (O341), revenues −3,993 (O929), millions of dollars; neither file allocates interactions to individual sections or isolates the 71115–71116 interaction.</t>
        </is>
      </c>
      <c r="N158" s="12" t="inlineStr">
        <is>
          <t>verified — Round 3 item 2</t>
        </is>
      </c>
    </row>
    <row r="159" ht="42.75" customHeight="1" s="10">
      <c r="A159" s="12" t="inlineStr">
        <is>
          <t>3. The $681B construction</t>
        </is>
      </c>
      <c r="B159" s="13" t="inlineStr">
        <is>
          <t>SB-28</t>
        </is>
      </c>
      <c r="C159" s="12" t="inlineStr">
        <is>
          <t>CBO does not say in words that each section figure excludes the interaction between the sections; on THEIA Services' reading of CBO's table layout, CBO's section figures exclude it</t>
        </is>
      </c>
      <c r="D159" s="12" t="inlineStr">
        <is>
          <t>derived arithmetic - interpretive [I]</t>
        </is>
      </c>
      <c r="E159" s="12" t="inlineStr">
        <is>
          <t>CBO; [FIRM]</t>
        </is>
      </c>
      <c r="F159" s="12" t="inlineStr">
        <is>
          <t>Note sec. 5 (fourth POLITICO paragraph); App. F</t>
        </is>
      </c>
      <c r="G159" s="12" t="inlineStr">
        <is>
          <t>Note sec. 5; App. F</t>
        </is>
      </c>
      <c r="H159" s="12" t="inlineStr">
        <is>
          <t>Whether CBO's section figures include the interaction</t>
        </is>
      </c>
      <c r="I159" s="12" t="inlineStr">
        <is>
          <t>federal</t>
        </is>
      </c>
      <c r="J159" s="12" t="inlineStr">
        <is>
          <t>FY2025–2034</t>
        </is>
      </c>
      <c r="K159" s="12" t="inlineStr">
        <is>
          <t>nominal</t>
        </is>
      </c>
      <c r="L159" s="12" t="inlineStr">
        <is>
          <t>not scenario-dependent (enacted law)</t>
        </is>
      </c>
      <c r="M159" s="12" t="inlineStr">
        <is>
          <t>Round 3 item 2: 'exclude' rests on how the table is laid out, because CBO does not say in words that each section is scored alone. The $191.1B + $149.4B sum is therefore the two sections each scored alone.</t>
        </is>
      </c>
      <c r="N159" s="12" t="inlineStr">
        <is>
          <t>verified with caveat — the reading rests on CBO's layout, not on a statement</t>
        </is>
      </c>
    </row>
    <row r="160" ht="63.75" customHeight="1" s="10">
      <c r="A160" s="12" t="inlineStr">
        <is>
          <t>3. The $681B construction</t>
        </is>
      </c>
      <c r="B160" s="13" t="inlineStr">
        <is>
          <t>SB-29</t>
        </is>
      </c>
      <c r="C160" s="12" t="inlineStr">
        <is>
          <t>On CMS's tables, the federal figure treated the way CBO's section figures are (without the interaction) is $510.1B + $245.8B = $755.9B for 2026–2035; dropping 2035, it is $755.9B − $80.6B (CMS-2449-P Table 19) − $44.4B (CMS-2452-P Table 11) = $630.9B for 2026–2034, nine years against CBO's ten, which compares with CBO's $340.5B for 2025–2034</t>
        </is>
      </c>
      <c r="D160" s="12" t="inlineStr">
        <is>
          <t>derived arithmetic [I]</t>
        </is>
      </c>
      <c r="E160" s="12" t="inlineStr">
        <is>
          <t>CMS-2449-P Table 19; CMS-2452-P Table 11; CBO</t>
        </is>
      </c>
      <c r="F160" s="12" t="inlineStr">
        <is>
          <t>91 FR 30451–30452; 91 FR 46591; note sec. 5 (fifth paragraph), App. F ('the federal reconciliation on CMS's tables')</t>
        </is>
      </c>
      <c r="G160" s="12" t="inlineStr">
        <is>
          <t>Note App. F</t>
        </is>
      </c>
      <c r="H160" s="12" t="inlineStr">
        <is>
          <t>The CMS federal total on CBO's no-interaction basis</t>
        </is>
      </c>
      <c r="I160" s="12" t="inlineStr">
        <is>
          <t>federal only</t>
        </is>
      </c>
      <c r="J160" s="12" t="inlineStr">
        <is>
          <t>2026–2035; 2026–2034</t>
        </is>
      </c>
      <c r="K160" s="12" t="inlineStr">
        <is>
          <t>real 2026 dollars</t>
        </is>
      </c>
      <c r="L160" s="12" t="inlineStr">
        <is>
          <t>central, excluding interaction</t>
        </is>
      </c>
      <c r="M160" s="12" t="inlineStr">
        <is>
          <t>Internal: 510.1 + 245.8 = 755.9; 755.9 − 80.6 − 44.4 = 630.9. Verification summary (F-015 table) reproduces both. Table 11's annual federal row sums to $245.9B against the stated $245.8B (CE-73). CMS gives no dollar conversion.</t>
        </is>
      </c>
      <c r="N160" s="12" t="inlineStr">
        <is>
          <t>verified as derived</t>
        </is>
      </c>
    </row>
    <row r="161" ht="63.75" customHeight="1" s="10">
      <c r="A161" s="12" t="inlineStr">
        <is>
          <t>3. The $681B construction</t>
        </is>
      </c>
      <c r="B161" s="13" t="inlineStr">
        <is>
          <t>SB-30</t>
        </is>
      </c>
      <c r="C161" s="12" t="inlineStr">
        <is>
          <t>With the interaction, CMS's federal total is $510.1B + $90.9B (Table 14) = $601.0B, or $501.5B without 2035 (less $80.6B and $18.9B); it has no CBO counterpart. Only CMS's extra year lowers its figure; removing the interaction, or converting 2026 dollars to CBO's unadjusted dollars (CMS gives no conversion), raises it</t>
        </is>
      </c>
      <c r="D161" s="12" t="inlineStr">
        <is>
          <t>derived arithmetic [I]</t>
        </is>
      </c>
      <c r="E161" s="12" t="inlineStr">
        <is>
          <t>CMS-2449-P Table 19; CMS-2452-P Table 14; CBO</t>
        </is>
      </c>
      <c r="F161" s="12" t="inlineStr">
        <is>
          <t>91 FR 30451–30452; 91 FR 46593; note sec. 5 (fifth paragraph), App. F</t>
        </is>
      </c>
      <c r="G161" s="12" t="inlineStr">
        <is>
          <t>Note sec. 5; App. F</t>
        </is>
      </c>
      <c r="H161" s="12" t="inlineStr">
        <is>
          <t>The with-interaction CMS federal total and the direction of each adjustment</t>
        </is>
      </c>
      <c r="I161" s="12" t="inlineStr">
        <is>
          <t>federal only</t>
        </is>
      </c>
      <c r="J161" s="12" t="inlineStr">
        <is>
          <t>2026–2035; 2026–2034</t>
        </is>
      </c>
      <c r="K161" s="12" t="inlineStr">
        <is>
          <t>real 2026 dollars</t>
        </is>
      </c>
      <c r="L161" s="12" t="inlineStr">
        <is>
          <t>central, overlap-adjusted</t>
        </is>
      </c>
      <c r="M161" s="12" t="inlineStr">
        <is>
          <t>Internal: 510.1 + 90.9 = 601.0; 601.0 − 80.6 − 18.9 = 501.5; confirmed on CMS's tables (verification summary, F-015, 'Corrected'). The dollar-basis adjustment is known in direction only. Replaces the $601.0B v. $340.5B comparison at SB-23 (superseded). CBPP draws the same conclusion (SB-31).</t>
        </is>
      </c>
      <c r="N161" s="12" t="inlineStr">
        <is>
          <t>verified as derived — direction only for the dollar-basis adjustment</t>
        </is>
      </c>
    </row>
    <row r="162" ht="74.25" customHeight="1" s="10">
      <c r="A162" s="12" t="inlineStr">
        <is>
          <t>3. The $681B construction</t>
        </is>
      </c>
      <c r="B162" s="13" t="inlineStr">
        <is>
          <t>SB-31</t>
        </is>
      </c>
      <c r="C162" s="12" t="inlineStr">
        <is>
          <t>The Center on Budget and Policy Priorities, which opposes the provider tax rule, compared CMS's $601 billion with $341 billion, its rounding of the sum of CBO's two section figures, and reasoned that adjusting for the interaction and the dollar basis would raise CMS's figure, so a large gap would remain; it gives no adjusted figures</t>
        </is>
      </c>
      <c r="D162" s="12" t="inlineStr">
        <is>
          <t>third-party position [E]</t>
        </is>
      </c>
      <c r="E162" s="12" t="inlineStr">
        <is>
          <t>CBPP, comment CMS-2026-2476-0033</t>
        </is>
      </c>
      <c r="F162" s="12" t="inlineStr">
        <is>
          <t>Comment CMS-2026-2476-0033, p. 9, footnote 23; note App. F ('Draft note, CBPP's comparison')</t>
        </is>
      </c>
      <c r="G162" s="12" t="inlineStr">
        <is>
          <t>Note App. F</t>
        </is>
      </c>
      <c r="H162" s="12" t="inlineStr">
        <is>
          <t>A commenter's reconciliation of CMS and CBO</t>
        </is>
      </c>
      <c r="I162" s="12" t="inlineStr">
        <is>
          <t>federal</t>
        </is>
      </c>
      <c r="J162" s="12" t="inlineStr">
        <is>
          <t>FY2026–2035 vs FY2025–2034</t>
        </is>
      </c>
      <c r="K162" s="12" t="inlineStr">
        <is>
          <t>real 2026 vs nominal</t>
        </is>
      </c>
      <c r="L162" s="12" t="inlineStr">
        <is>
          <t>central, overlap-adjusted</t>
        </is>
      </c>
      <c r="M162" s="12" t="inlineStr">
        <is>
          <t>Verification summary: CBPP's footnote 23 (2476-0033, p. 9 of 13) confirmed; the footnote says the extra year raises CMS's estimate and the interaction and the dollar basis each lower it, so adjusting for the interaction and the dollar basis would raise CMS's figure (the finding F-015 had this backwards and was 'Corrected'). CMS's own tables bear out the conclusion (SB-29, SB-30).</t>
        </is>
      </c>
      <c r="N162" s="12" t="inlineStr">
        <is>
          <t>verified — verification summary (F-015): footnote 23, p. 9 of 13 confirmed</t>
        </is>
      </c>
    </row>
    <row r="163" ht="84.75" customHeight="1" s="10">
      <c r="A163" s="12" t="inlineStr">
        <is>
          <t>3. The $681B construction</t>
        </is>
      </c>
      <c r="B163" s="13" t="inlineStr">
        <is>
          <t>SB-32</t>
        </is>
      </c>
      <c r="C163" s="12" t="inlineStr">
        <is>
          <t>Commenters cite CBO's Section 71115 estimate on both measures, $191.1B in outlays and about $183B, under different labels, and one state agency gives the two as a range; the $183B matches CBO's $182.7B deficit figure</t>
        </is>
      </c>
      <c r="D163" s="12" t="inlineStr">
        <is>
          <t>third-party position [E]/[I]</t>
        </is>
      </c>
      <c r="E163" s="12" t="inlineStr">
        <is>
          <t>Comments on CMS-2452-P</t>
        </is>
      </c>
      <c r="F163" s="12" t="inlineStr">
        <is>
          <t>Comments CMS-2026-2476-0201 p. 1; -0029 p. 1; -0097, -0187 and -0195 (one campaign); -0126; -0089; note App. F ('Draft note, how commenters cite CBO')</t>
        </is>
      </c>
      <c r="G163" s="12" t="inlineStr">
        <is>
          <t>Note App. F</t>
        </is>
      </c>
      <c r="H163" s="12" t="inlineStr">
        <is>
          <t>How commenters label CBO's two measures</t>
        </is>
      </c>
      <c r="I163" s="12" t="inlineStr">
        <is>
          <t>provider tax rule docket</t>
        </is>
      </c>
      <c r="J163" s="12" t="inlineStr">
        <is>
          <t>snapshot October 7, 2026</t>
        </is>
      </c>
      <c r="K163" s="12" t="inlineStr">
        <is>
          <t>nominal</t>
        </is>
      </c>
      <c r="L163" s="12" t="inlineStr">
        <is>
          <t>not scenario-dependent</t>
        </is>
      </c>
      <c r="M163" s="12" t="inlineStr">
        <is>
          <t>Located by the comment analyst (F-004); the letters were not re-read in the verification files. The $183B match is arithmetic against SB-09. The verification summary notes CBO's $182.7B is its estimate of the law as enacted (July 21, 2025 table headed 'As enacted on July 4, 2025'), so a 'pre-enactment' label for $183B does not describe it. TP-18 is one of these comments (-0029).</t>
        </is>
      </c>
      <c r="N163" s="12" t="inlineStr">
        <is>
          <t>single-source — comment analyst's findings; letters not re-read — NEEDS VERIFICATION [DL4] Comment IDs on the 'citation to add after verification' list (change map, v2 list item 7: F-004).</t>
        </is>
      </c>
    </row>
    <row r="164" ht="84.75" customHeight="1" s="10">
      <c r="A164" s="12" t="inlineStr">
        <is>
          <t>3. The $681B construction</t>
        </is>
      </c>
      <c r="B164" s="13" t="inlineStr">
        <is>
          <t>SB-33</t>
        </is>
      </c>
      <c r="C164" s="12" t="inlineStr">
        <is>
          <t>In the SDP rule's docket, about 120 comments (about 90 distinct texts) cite CMS's $510B and about 90 (about 60 distinct texts) cite CBO's $149.4B, often side by side, in both docket views (keyword counts; for example, comments CMS-2026-1916-0902, -0128 and -0756)</t>
        </is>
      </c>
      <c r="D164" s="12" t="inlineStr">
        <is>
          <t>third-party position [E]</t>
        </is>
      </c>
      <c r="E164" s="12" t="inlineStr">
        <is>
          <t>Comments on CMS-2449-P</t>
        </is>
      </c>
      <c r="F164" s="12" t="inlineStr">
        <is>
          <t>Comments CMS-2026-1916-0902, -0128, -0756; note App. F</t>
        </is>
      </c>
      <c r="G164" s="12" t="inlineStr">
        <is>
          <t>Note App. F</t>
        </is>
      </c>
      <c r="H164" s="12" t="inlineStr">
        <is>
          <t>Keyword counts of comments citing the two figures</t>
        </is>
      </c>
      <c r="I164" s="12" t="inlineStr">
        <is>
          <t>SDP rule docket</t>
        </is>
      </c>
      <c r="J164" s="12" t="inlineStr">
        <is>
          <t>snapshot October 7, 2026</t>
        </is>
      </c>
      <c r="K164" s="12" t="inlineStr">
        <is>
          <t>nominal / real 2026</t>
        </is>
      </c>
      <c r="L164" s="12" t="inlineStr">
        <is>
          <t>not scenario-dependent</t>
        </is>
      </c>
      <c r="M164" s="12" t="inlineStr">
        <is>
          <t>Located by the comment analyst (F-016); keyword counts are approximate by the note's own statement (App. I). Not re-checked in the verification files.</t>
        </is>
      </c>
      <c r="N164" s="12" t="inlineStr">
        <is>
          <t>single-source — comment analyst's keyword counts; approximate — NEEDS VERIFICATION [DL4] Comment IDs on the 'citation to add after verification' list (change map, v2 list item 7: F-016).</t>
        </is>
      </c>
    </row>
    <row r="165" ht="95.25" customHeight="1" s="10">
      <c r="A165" s="12" t="inlineStr">
        <is>
          <t>4. Third-party figures</t>
        </is>
      </c>
      <c r="B165" s="13" t="inlineStr">
        <is>
          <t>TP-01</t>
        </is>
      </c>
      <c r="C165" s="12" t="inlineStr">
        <is>
          <t>HFMA's July 22, 2026 article reported that provider payments would fall $220.3B over 10 years and that providers would save $163.7B in taxes, 'leaving a net decrease of $56.6 billion'</t>
        </is>
      </c>
      <c r="D165" s="12" t="inlineStr">
        <is>
          <t>third-party estimate [E]</t>
        </is>
      </c>
      <c r="E165" s="12" t="inlineStr">
        <is>
          <t>HFMA</t>
        </is>
      </c>
      <c r="F165" s="12" t="inlineStr">
        <is>
          <t>"Medicaid provider tax proposed rule could cut payments by $220 billion over 10 years," July 22, 2026; note sec. 5 (HFMA's $56.6 billion)</t>
        </is>
      </c>
      <c r="G165" s="12" t="inlineStr">
        <is>
          <t>"Providers would end up with a net deficit despite saving $163.7 billion in taxes between 2026 and 2035 under the rule. Medicaid payments to providers would be $220.3 billion lower over the 10-year period compared with a scenario in which there is no OBBBA and no proposed rule, leaving a net decrease of $56.6 billion."</t>
        </is>
      </c>
      <c r="H165" s="12" t="inlineStr">
        <is>
          <t>Provider payment change and a derived net figure</t>
        </is>
      </c>
      <c r="I165" s="12" t="inlineStr">
        <is>
          <t>provider aggregate</t>
        </is>
      </c>
      <c r="J165" s="12" t="inlineStr">
        <is>
          <t>2026–2035</t>
        </is>
      </c>
      <c r="K165" s="12" t="inlineStr">
        <is>
          <t>unstated</t>
        </is>
      </c>
      <c r="L165" s="12" t="inlineStr">
        <is>
          <t>not stated</t>
        </is>
      </c>
      <c r="M165" s="12" t="inlineStr">
        <is>
          <t>C3 output retrieved the full article text and confirms this is the only passage containing all three figures UPDATED October 11, 2026: v17 quotes only the final fragment ('leaving a net decrease of $56.6 billion') and paraphrases the rest; the full passage remains as recorded in the Quote column. Previous wording: 'HFMA reports $220.3B, $163.7B and $56.6B in a single passage'</t>
        </is>
      </c>
      <c r="N165" s="12" t="inlineStr">
        <is>
          <t>verified — NEEDS VERIFICATION [DL3] HFMA, July 22, 2026 is on the decision-log re-check list (secs. 5–6; App. H). The ledger's own C3 output retrieved the full text; the public-comment review did not re-check it.</t>
        </is>
      </c>
    </row>
    <row r="166" ht="126.75" customHeight="1" s="10">
      <c r="A166" s="12" t="inlineStr">
        <is>
          <t>4. Third-party figures</t>
        </is>
      </c>
      <c r="B166" s="13" t="inlineStr">
        <is>
          <t>TP-02</t>
        </is>
      </c>
      <c r="C166" s="12" t="inlineStr">
        <is>
          <t>HFMA cites no CMS table for the three figures</t>
        </is>
      </c>
      <c r="D166" s="12" t="inlineStr">
        <is>
          <t>negative claim</t>
        </is>
      </c>
      <c r="E166" s="12" t="inlineStr">
        <is>
          <t>HFMA article</t>
        </is>
      </c>
      <c r="F166" s="12" t="inlineStr">
        <is>
          <t>Full-text review of the article</t>
        </is>
      </c>
      <c r="G166" s="12" t="inlineStr">
        <is>
          <t>Absence</t>
        </is>
      </c>
      <c r="H166" s="12" t="inlineStr">
        <is>
          <t>Absence of a table citation</t>
        </is>
      </c>
      <c r="I166" s="12" t="inlineStr">
        <is>
          <t>n/a</t>
        </is>
      </c>
      <c r="J166" s="12" t="inlineStr">
        <is>
          <t>n/a</t>
        </is>
      </c>
      <c r="K166" s="12" t="inlineStr">
        <is>
          <t>n/a</t>
        </is>
      </c>
      <c r="L166" s="12" t="inlineStr">
        <is>
          <t>not scenario-dependent</t>
        </is>
      </c>
      <c r="M166" s="12" t="inlineStr">
        <is>
          <t>SUPERSEDED October 11, 2026. v17 does not say that HFMA cites no CMS table for its three figures. It says only that HFMA's article describes the same no-OBBBA comparison point as CMS, reported the three figures, and that $56.6 billion appears in neither rule. The finding remains true to the C3 review and is kept as ledger evidence. Removed or reversed by: the revisions between the v9 sync and v17 (the supplied decision log and change map do not identify which revision removed the statement). Replaced by: none (removed, not reversed). Original cross-check, retained for the record: C3 output: "The HFMA article contains no reference to any CMS table number ... anywhere in the piece"</t>
        </is>
      </c>
      <c r="N166" s="12" t="inlineStr">
        <is>
          <t>SUPERSEDED — no longer a note claim</t>
        </is>
      </c>
    </row>
    <row r="167" ht="126.75" customHeight="1" s="10">
      <c r="A167" s="12" t="inlineStr">
        <is>
          <t>4. Third-party figures</t>
        </is>
      </c>
      <c r="B167" s="13" t="inlineStr">
        <is>
          <t>TP-03</t>
        </is>
      </c>
      <c r="C167" s="12" t="inlineStr">
        <is>
          <t>HFMA presents the $56.6B in its own voice, without attributing it to CMS</t>
        </is>
      </c>
      <c r="D167" s="12" t="inlineStr">
        <is>
          <t>third-party estimate</t>
        </is>
      </c>
      <c r="E167" s="12" t="inlineStr">
        <is>
          <t>HFMA article</t>
        </is>
      </c>
      <c r="F167" s="12" t="inlineStr">
        <is>
          <t>Same passage</t>
        </is>
      </c>
      <c r="G167" s="12" t="inlineStr">
        <is>
          <t>No attribution language attached</t>
        </is>
      </c>
      <c r="H167" s="12" t="inlineStr">
        <is>
          <t>Authorship of the net figure</t>
        </is>
      </c>
      <c r="I167" s="12" t="inlineStr">
        <is>
          <t>n/a</t>
        </is>
      </c>
      <c r="J167" s="12" t="inlineStr">
        <is>
          <t>2026–2035</t>
        </is>
      </c>
      <c r="K167" s="12" t="inlineStr">
        <is>
          <t>unstated</t>
        </is>
      </c>
      <c r="L167" s="12" t="inlineStr">
        <is>
          <t>not stated</t>
        </is>
      </c>
      <c r="M167" s="12" t="inlineStr">
        <is>
          <t>SUPERSEDED October 11, 2026. v17 does not say HFMA presents the $56.6B in its own voice or without attributing it to CMS. It says the $56.6 billion 'appears, on THEIA Services' reading, to subtract the $163.7 billion in lower provider taxes twice' and that THEIA found it in neither rule. The C3 finding remains ledger evidence. Removed or reversed by: the revisions between the v9 sync and v17 (the supplied decision log and change map do not identify which revision removed the statement). Replaced by: none (removed, not reversed); the reading is at TP-24. Original cross-check, retained for the record: C3 output finding (e): no "according to CMS" or equivalent attaches to this figure</t>
        </is>
      </c>
      <c r="N167" s="12" t="inlineStr">
        <is>
          <t>SUPERSEDED — 'own voice' no longer stated</t>
        </is>
      </c>
    </row>
    <row r="168" ht="53.25" customHeight="1" s="10">
      <c r="A168" s="12" t="inlineStr">
        <is>
          <t>4. Third-party figures</t>
        </is>
      </c>
      <c r="B168" s="13" t="inlineStr">
        <is>
          <t>TP-04</t>
        </is>
      </c>
      <c r="C168" s="12" t="inlineStr">
        <is>
          <t>HFMA's July 22, 2026 article describes the same no-OBBBA comparison point as CMS: 'compared with a scenario in which there is no OBBBA and no proposed rule'</t>
        </is>
      </c>
      <c r="D168" s="12" t="inlineStr">
        <is>
          <t>third-party estimate [E]</t>
        </is>
      </c>
      <c r="E168" s="12" t="inlineStr">
        <is>
          <t>HFMA article</t>
        </is>
      </c>
      <c r="F168" s="12" t="inlineStr">
        <is>
          <t>Same passage; note sec. 5 (HFMA's $56.6 billion)</t>
        </is>
      </c>
      <c r="G168" s="12" t="inlineStr">
        <is>
          <t>"compared with a scenario in which there is no OBBBA and no proposed rule"</t>
        </is>
      </c>
      <c r="H168" s="12" t="inlineStr">
        <is>
          <t>Counterfactual against which the figure is measured</t>
        </is>
      </c>
      <c r="I168" s="12" t="inlineStr">
        <is>
          <t>provider aggregate</t>
        </is>
      </c>
      <c r="J168" s="12" t="inlineStr">
        <is>
          <t>2026–2035</t>
        </is>
      </c>
      <c r="K168" s="12" t="inlineStr">
        <is>
          <t>unstated</t>
        </is>
      </c>
      <c r="L168" s="12" t="inlineStr">
        <is>
          <t>not stated</t>
        </is>
      </c>
      <c r="M168" s="12" t="inlineStr">
        <is>
          <t>C3 output finding (b) confirms verbatim; P4 independently confirms UPDATED October 11, 2026: claim reworded to the note's current text (v17). Previous wording: 'HFMA's stated baseline is a scenario with no OBBBA and no proposed rule'</t>
        </is>
      </c>
      <c r="N168" s="12" t="inlineStr">
        <is>
          <t>verified — NEEDS VERIFICATION [DL3] HFMA, July 22, 2026 is on the decision-log re-check list (secs. 5–6; App. H).</t>
        </is>
      </c>
    </row>
    <row r="169" ht="137.25" customHeight="1" s="10">
      <c r="A169" s="12" t="inlineStr">
        <is>
          <t>4. Third-party figures</t>
        </is>
      </c>
      <c r="B169" s="13" t="inlineStr">
        <is>
          <t>TP-05</t>
        </is>
      </c>
      <c r="C169" s="12" t="inlineStr">
        <is>
          <t>Table 12 measures the rule's incremental effect against a baseline in which the 2025 reconciliation law is already in place, not the no-OBBBA counterfactual HFMA describes</t>
        </is>
      </c>
      <c r="D169" s="12" t="inlineStr">
        <is>
          <t>derived arithmetic</t>
        </is>
      </c>
      <c r="E169" s="12" t="inlineStr">
        <is>
          <t>CMS-2452-P Table 12</t>
        </is>
      </c>
      <c r="F169" s="12" t="inlineStr">
        <is>
          <t>Table 12, 91 FR 46592</t>
        </is>
      </c>
      <c r="G169" s="12" t="inlineStr">
        <is>
          <t>Note sec. 3a</t>
        </is>
      </c>
      <c r="H169" s="12" t="inlineStr">
        <is>
          <t>Baseline mismatch between a matching numeral and its stated construction</t>
        </is>
      </c>
      <c r="I169" s="12" t="inlineStr">
        <is>
          <t>provider aggregate</t>
        </is>
      </c>
      <c r="J169" s="12" t="inlineStr">
        <is>
          <t>FY2026–2035</t>
        </is>
      </c>
      <c r="K169" s="12" t="inlineStr">
        <is>
          <t>real 2026 dollars</t>
        </is>
      </c>
      <c r="L169" s="12" t="inlineStr">
        <is>
          <t>primary, excluding interaction</t>
        </is>
      </c>
      <c r="M169" s="12" t="inlineStr">
        <is>
          <t>SUPERSEDED September 27, 2026. The claim was wrong. CMS states that the provider tax rule's RIA uses a 'pre-statute' baseline (91 FR 46562 RIA) and captions Tables 5, 9 and 10 as projections 'Absent the Effects of the WFTC Legislation' (verified, D-16). HFMA's description of its baseline, 'a scenario in which there is no OBBBA and no proposed rule', therefore matches CMS's. The mismatch this row recorded does not exist, and D-9 is resolved in HFMA's favour. Removed or reversed by: the first adversarial review (D-14); the note's sec. 3a now states that HFMA's stated baseline matches CMS's. Replaced by: TP-23. Original cross-check, retained for the record: Internal: the $220.3B matches Table 12's provider line to the decimal while the stated baseline does not match Table 12's. One of the two must be wrong, and the note does not resolve which</t>
        </is>
      </c>
      <c r="N169" s="12" t="inlineStr">
        <is>
          <t>SUPERSEDED — baseline claim reversed; D-9 resolved in HFMA's favour; replaced by TP-23</t>
        </is>
      </c>
    </row>
    <row r="170" ht="105.75" customHeight="1" s="10">
      <c r="A170" s="12" t="inlineStr">
        <is>
          <t>4. Third-party figures</t>
        </is>
      </c>
      <c r="B170" s="13" t="inlineStr">
        <is>
          <t>TP-06</t>
        </is>
      </c>
      <c r="C170" s="12" t="inlineStr">
        <is>
          <t>The $56.6B subtracts provider tax relief from a line that already incorporates it</t>
        </is>
      </c>
      <c r="D170" s="12" t="inlineStr">
        <is>
          <t>derived arithmetic</t>
        </is>
      </c>
      <c r="E170" s="12" t="inlineStr">
        <is>
          <t>CMS-2452-P Tables 8 and 12; HFMA</t>
        </is>
      </c>
      <c r="F170" s="12" t="inlineStr">
        <is>
          <t>91 FR 46590, 46592</t>
        </is>
      </c>
      <c r="G170" s="12" t="inlineStr">
        <is>
          <t>Note sec. 3a</t>
        </is>
      </c>
      <c r="H170" s="12" t="inlineStr">
        <is>
          <t>Diagnosis of a double subtraction</t>
        </is>
      </c>
      <c r="I170" s="12" t="inlineStr">
        <is>
          <t>provider aggregate</t>
        </is>
      </c>
      <c r="J170" s="12" t="inlineStr">
        <is>
          <t>2026–2035</t>
        </is>
      </c>
      <c r="K170" s="12" t="inlineStr">
        <is>
          <t>mixed</t>
        </is>
      </c>
      <c r="L170" s="12" t="inlineStr">
        <is>
          <t>primary</t>
        </is>
      </c>
      <c r="M170" s="12" t="inlineStr">
        <is>
          <t>SUPERSEDED September 27, 2026. The row states the double subtraction as fact. The note now presents it as a reading: the $56.6B 'appears to count the tax relief twice', and 'on our reading' it is Table 12's provider line with the tax relief counted a second time, 'or it comes from a source we did not locate'. Removed or reversed by: the adversarial review cycle (D-14, D-15); the supplied materials do not say which pass. Replaced by: TP-24. Original cross-check, retained for the record: Internal: 220.3 − 163.7 = 56.6 exactly, and CE-13 establishes the 220.3 is already net of that same 163.7. Georgetown CCF's independent reading (TP-08) is the corroboration</t>
        </is>
      </c>
      <c r="N170" s="12" t="inlineStr">
        <is>
          <t>SUPERSEDED — restated as a reading; replaced by TP-24</t>
        </is>
      </c>
    </row>
    <row r="171" ht="157.5" customHeight="1" s="10">
      <c r="A171" s="12" t="inlineStr">
        <is>
          <t>4. Third-party figures</t>
        </is>
      </c>
      <c r="B171" s="13" t="inlineStr">
        <is>
          <t>TP-07</t>
        </is>
      </c>
      <c r="C171" s="12" t="inlineStr">
        <is>
          <t>THEIA Services found the $56.6B in neither rule</t>
        </is>
      </c>
      <c r="D171" s="12" t="inlineStr">
        <is>
          <t>negative claim [I]</t>
        </is>
      </c>
      <c r="E171" s="12" t="inlineStr">
        <is>
          <t>Both RIAs; reconciliation worksheet</t>
        </is>
      </c>
      <c r="F171" s="12" t="inlineStr">
        <is>
          <t>Both RIAs; reconciliation worksheet; note sec. 5</t>
        </is>
      </c>
      <c r="G171" s="12" t="inlineStr">
        <is>
          <t>Absence</t>
        </is>
      </c>
      <c r="H171" s="12" t="inlineStr">
        <is>
          <t>Absence of the figure from the primary record</t>
        </is>
      </c>
      <c r="I171" s="12" t="inlineStr">
        <is>
          <t>n/a</t>
        </is>
      </c>
      <c r="J171" s="12" t="inlineStr">
        <is>
          <t>n/a</t>
        </is>
      </c>
      <c r="K171" s="12" t="inlineStr">
        <is>
          <t>n/a</t>
        </is>
      </c>
      <c r="L171" s="12" t="inlineStr">
        <is>
          <t>not scenario-dependent</t>
        </is>
      </c>
      <c r="M171" s="12" t="inlineStr">
        <is>
          <t>RE-VERIFIED: the reconciliation worksheet is now available and was searched in full across all six sheets. It contains no instance of 56.6 in any cell, and its README states the scope as every quantitative estimate in each RIA's tables and accompanying narrative. The claim that the figure is absent from the primary record as transcribed now stands on the worksheet itself rather than on the note's account of it UPDATED October 11, 2026: v17 states the negative as THEIA's search result [I] ('found $56.6 billion in neither rule') and no longer refers to the worksheet's coverage. The worksheet re-check (all six sheets, no instance of 56.6 in any cell) stands as the evidence. Same finding as NC-08. Previous wording: 'The $56.6B appears in neither RIA; the reconciliation worksheet transcribes every quantitative estimate in both and contains no instance of it'</t>
        </is>
      </c>
      <c r="N171" s="12" t="inlineStr">
        <is>
          <t>verified - re-checked against the worksheet</t>
        </is>
      </c>
    </row>
    <row r="172" ht="63.75" customHeight="1" s="10">
      <c r="A172" s="12" t="inlineStr">
        <is>
          <t>4. Third-party figures</t>
        </is>
      </c>
      <c r="B172" s="13" t="inlineStr">
        <is>
          <t>TP-08</t>
        </is>
      </c>
      <c r="C172" s="12" t="inlineStr">
        <is>
          <t>Georgetown University's Center for Children and Families reported the same $220.3B on July 27, 2026 as already net of providers' lower taxes</t>
        </is>
      </c>
      <c r="D172" s="12" t="inlineStr">
        <is>
          <t>third-party estimate [E]</t>
        </is>
      </c>
      <c r="E172" s="12" t="inlineStr">
        <is>
          <t>Georgetown CCF</t>
        </is>
      </c>
      <c r="F172" s="12" t="inlineStr">
        <is>
          <t>"CMS Issues New Rule Again Going Beyond H.R. 1 Requirements to Further Restrict State Use of Medicaid Provider Taxes," July 27, 2026; note sec. 5 (HFMA's $56.6 billion)</t>
        </is>
      </c>
      <c r="G172" s="12" t="inlineStr">
        <is>
          <t>"health care providers would see their Medicaid payments fall by $220.3 billion over ten years (after taking into account the reduction in the taxes paid by providers"</t>
        </is>
      </c>
      <c r="H172" s="12" t="inlineStr">
        <is>
          <t>Independent identification of the provider line as a net figure</t>
        </is>
      </c>
      <c r="I172" s="12" t="inlineStr">
        <is>
          <t>provider aggregate</t>
        </is>
      </c>
      <c r="J172" s="12" t="inlineStr">
        <is>
          <t>ten years</t>
        </is>
      </c>
      <c r="K172" s="12" t="inlineStr">
        <is>
          <t>unstated</t>
        </is>
      </c>
      <c r="L172" s="12" t="inlineStr">
        <is>
          <t>not stated</t>
        </is>
      </c>
      <c r="M172" s="12" t="inlineStr">
        <is>
          <t>C3 output retrieved and quotes the sentence; this is the note's only external corroboration of CE-36 (formerly CE-13) UPDATED October 11, 2026: claim reworded to the note's current text (v17). Previous wording: 'Georgetown CCF reports the $220.3B with the qualification that it is after the reduction in taxes paid by providers'</t>
        </is>
      </c>
      <c r="N172" s="12" t="inlineStr">
        <is>
          <t>verified — NEEDS VERIFICATION [DL3] Georgetown CCF, July 27, 2026 is on the decision-log re-check list (sec. 5, HFMA paragraph).</t>
        </is>
      </c>
    </row>
    <row r="173" ht="126.75" customHeight="1" s="10">
      <c r="A173" s="12" t="inlineStr">
        <is>
          <t>4. Third-party figures</t>
        </is>
      </c>
      <c r="B173" s="13" t="inlineStr">
        <is>
          <t>TP-09</t>
        </is>
      </c>
      <c r="C173" s="12" t="inlineStr">
        <is>
          <t>Georgetown attributes to CMS a $245.8B federal reduction and a $198.7B fall in state provider tax revenue</t>
        </is>
      </c>
      <c r="D173" s="12" t="inlineStr">
        <is>
          <t>third-party estimate</t>
        </is>
      </c>
      <c r="E173" s="12" t="inlineStr">
        <is>
          <t>Georgetown CCF, July 27, 2026</t>
        </is>
      </c>
      <c r="F173" s="12" t="inlineStr">
        <is>
          <t>Same post</t>
        </is>
      </c>
      <c r="G173" s="12" t="inlineStr">
        <is>
          <t>As quoted in C3</t>
        </is>
      </c>
      <c r="H173" s="12" t="inlineStr">
        <is>
          <t>Federal outlay reduction; state tax revenue reduction</t>
        </is>
      </c>
      <c r="I173" s="12" t="inlineStr">
        <is>
          <t>federal only; state only</t>
        </is>
      </c>
      <c r="J173" s="12" t="inlineStr">
        <is>
          <t>ten years</t>
        </is>
      </c>
      <c r="K173" s="12" t="inlineStr">
        <is>
          <t>unstated</t>
        </is>
      </c>
      <c r="L173" s="12" t="inlineStr">
        <is>
          <t>primary</t>
        </is>
      </c>
      <c r="M173" s="12" t="inlineStr">
        <is>
          <t>SUPERSEDED October 11, 2026. v17 cites Georgetown CCF only for the $220.3B being net of lower taxes (TP-08). It does not state that Georgetown attributes $245.8B and $198.7B to CMS. The finding remains true and is kept as ledger evidence; the two figures are corroborated by CMS's tables at CE-07 and CE-08. Removed or reversed by: the revisions between the v9 sync and v17 (the supplied decision log and change map do not identify which revision removed the statement). Replaced by: none (removed, not reversed). Original cross-check, retained for the record: Matches CE-07 and CE-08 exactly. Note that Georgetown attributes the $220.3B to CMS, while the P4 output had earlier treated it as HFMA-produced — see decision log B-6</t>
        </is>
      </c>
      <c r="N173" s="12" t="inlineStr">
        <is>
          <t>SUPERSEDED — Georgetown's $245.8B and $198.7B no longer cited</t>
        </is>
      </c>
    </row>
    <row r="174" ht="126.75" customHeight="1" s="10">
      <c r="A174" s="12" t="inlineStr">
        <is>
          <t>4. Third-party figures</t>
        </is>
      </c>
      <c r="B174" s="13" t="inlineStr">
        <is>
          <t>TP-10</t>
        </is>
      </c>
      <c r="C174" s="12" t="inlineStr">
        <is>
          <t>ASPE's $891B, from an August 12, 2026 report by HHS's Office of the Assistant Secretary for Planning and Evaluation, is a combined federal and state Medicaid spending cut from the OBBBA's provider tax and SDP provisions over 2025–2034, used to estimate benefits to other payers</t>
        </is>
      </c>
      <c r="D174" s="12" t="inlineStr">
        <is>
          <t>third-party estimate (federal agency) [E]</t>
        </is>
      </c>
      <c r="E174" s="12" t="inlineStr">
        <is>
          <t>ASPE</t>
        </is>
      </c>
      <c r="F174" s="12" t="inlineStr">
        <is>
          <t>"Effects of the Working Families Tax Cut Legislation on Health Care Costs," Aug 12, 2026, p. 11; note sec. 5 (ASPE's $891 billion)</t>
        </is>
      </c>
      <c r="G174" s="12" t="inlineStr">
        <is>
          <t>"We then scale this estimate in the same way as the prior two estimates to get the total (federal and state) savings estimate of $891 billion from 2025-2034. This yields a total benefit estimate of $875 billion from 2025-2034."</t>
        </is>
      </c>
      <c r="H174" s="12" t="inlineStr">
        <is>
          <t>Total Medicaid spending reduction, sensitivity estimate</t>
        </is>
      </c>
      <c r="I174" s="12" t="inlineStr">
        <is>
          <t>total computable</t>
        </is>
      </c>
      <c r="J174" s="12" t="inlineStr">
        <is>
          <t>2025–2034</t>
        </is>
      </c>
      <c r="K174" s="12" t="inlineStr">
        <is>
          <t>unstated</t>
        </is>
      </c>
      <c r="L174" s="12" t="inlineStr">
        <is>
          <t>sensitivity / alternative</t>
        </is>
      </c>
      <c r="M174" s="12" t="inlineStr">
        <is>
          <t>V1 output located and verified the quote at p. 11 and confirms it is not a headline savings figure EXTERNAL VERIFICATION, September 27, 2026 (D-16): ASPE's September 2, 2026 version of the report carries the same $891B and $875B figures as the August 12 version the note cites UPDATED October 11, 2026: v17 no longer calls the $891B a 'sensitivity-analysis estimate' or an input to the $875B benefit estimate, and does not state the $875B. The p. 11 quote and the external verification of the September 2 version stand. Previous wording: 'ASPE's $891B is a sensitivity-analysis estimate of total federal-plus-state Medicaid spending reduction from the combined provisions, used as an intermediate input to its $875B benefit estimate'</t>
        </is>
      </c>
      <c r="N174" s="12" t="inlineStr">
        <is>
          <t>verified — NEEDS VERIFICATION [DL3] ASPE, August 12, 2026 is on the decision-log re-check list (secs. 5–6; App. H).</t>
        </is>
      </c>
    </row>
    <row r="175" ht="116.25" customHeight="1" s="10">
      <c r="A175" s="12" t="inlineStr">
        <is>
          <t>4. Third-party figures</t>
        </is>
      </c>
      <c r="B175" s="13" t="inlineStr">
        <is>
          <t>TP-11</t>
        </is>
      </c>
      <c r="C175" s="12" t="inlineStr">
        <is>
          <t>ASPE does not say whether its $891B removes the overlap between the two provisions</t>
        </is>
      </c>
      <c r="D175" s="12" t="inlineStr">
        <is>
          <t>negative claim + third-party estimate [I]</t>
        </is>
      </c>
      <c r="E175" s="12" t="inlineStr">
        <is>
          <t>ASPE report</t>
        </is>
      </c>
      <c r="F175" s="12" t="inlineStr">
        <is>
          <t>p. 11 narrative; note sec. 5 (ASPE's $891 billion)</t>
        </is>
      </c>
      <c r="G175" s="12" t="inlineStr">
        <is>
          <t>"federal savings estimate for combined effect of the provider tax and SDP provisions is about the size of the SDP effect alone ($510 billion) estimated by OACT"</t>
        </is>
      </c>
      <c r="H175" s="12" t="inlineStr">
        <is>
          <t>Absence of an overlap adjustment, implying substantial unadjusted overlap</t>
        </is>
      </c>
      <c r="I175" s="12" t="inlineStr">
        <is>
          <t>total computable</t>
        </is>
      </c>
      <c r="J175" s="12" t="inlineStr">
        <is>
          <t>2025–2034</t>
        </is>
      </c>
      <c r="K175" s="12" t="inlineStr">
        <is>
          <t>unstated</t>
        </is>
      </c>
      <c r="L175" s="12" t="inlineStr">
        <is>
          <t>sensitivity</t>
        </is>
      </c>
      <c r="M175" s="12" t="inlineStr">
        <is>
          <t>V1 output confirms, and further establishes that the double-counting language circulating alongside this figure traces to KFF's companion brief rather than to ASPE UPDATED October 11, 2026: v17 states the point as THEIA's reading of what ASPE does not say. The earlier support (ASPE's combined federal savings 'about the size of the SDP effect alone ($510 billion) estimated by OACT') is no longer stated in v17 and remains ledger evidence. Previous wording: 'ASPE does not describe the $891B as adjusted for double counting; it notes its combined estimate is about the size of the SDP effect alone as estimated by OACT'</t>
        </is>
      </c>
      <c r="N175" s="12" t="inlineStr">
        <is>
          <t>verified — NEEDS VERIFICATION [DL3] ASPE, August 12, 2026 is on the decision-log re-check list (secs. 5–6; App. H).</t>
        </is>
      </c>
    </row>
    <row r="176" ht="63.75" customHeight="1" s="10">
      <c r="A176" s="12" t="inlineStr">
        <is>
          <t>4. Third-party figures</t>
        </is>
      </c>
      <c r="B176" s="13" t="inlineStr">
        <is>
          <t>TP-12</t>
        </is>
      </c>
      <c r="C176" s="12" t="inlineStr">
        <is>
          <t>ASPE estimates up to a 3.5% reduction in non-Medicaid prices and a $502–875B benefit to non-Medicaid payers</t>
        </is>
      </c>
      <c r="D176" s="12" t="inlineStr">
        <is>
          <t>third-party estimate</t>
        </is>
      </c>
      <c r="E176" s="12" t="inlineStr">
        <is>
          <t>ASPE report</t>
        </is>
      </c>
      <c r="F176" s="12" t="inlineStr">
        <is>
          <t>Key Points; Findings, pp. 10–11; note sec. 5 (ASPE's $891 billion)</t>
        </is>
      </c>
      <c r="G176" s="12" t="inlineStr">
        <is>
          <t>Key Points and Findings</t>
        </is>
      </c>
      <c r="H176" s="12" t="inlineStr">
        <is>
          <t>Price reduction and benefit to non-Medicaid payers</t>
        </is>
      </c>
      <c r="I176" s="12" t="inlineStr">
        <is>
          <t>non-Medicaid payers</t>
        </is>
      </c>
      <c r="J176" s="12" t="inlineStr">
        <is>
          <t>2025–2034</t>
        </is>
      </c>
      <c r="K176" s="12" t="inlineStr">
        <is>
          <t>unstated</t>
        </is>
      </c>
      <c r="L176" s="12" t="inlineStr">
        <is>
          <t>range across estimates</t>
        </is>
      </c>
      <c r="M176" s="12" t="inlineStr">
        <is>
          <t>V1 output confirms both figures and the $100–175B annual benefit once phased in EXTERNAL VERIFICATION, September 27, 2026 (D-16): ASPE's September 2, 2026 version carries the same $502–875B and 3.5 percent figures as the August 12 version the note cites UPDATED October 11, 2026: citation and location restated to v17 (changed: cite).</t>
        </is>
      </c>
      <c r="N176" s="12" t="inlineStr">
        <is>
          <t>verified — NEEDS VERIFICATION [DL3] ASPE, August 12, 2026 is on the decision-log re-check list (secs. 5–6; App. H).</t>
        </is>
      </c>
    </row>
    <row r="177" ht="95.25" customHeight="1" s="10">
      <c r="A177" s="12" t="inlineStr">
        <is>
          <t>4. Third-party figures</t>
        </is>
      </c>
      <c r="B177" s="13" t="inlineStr">
        <is>
          <t>TP-13</t>
        </is>
      </c>
      <c r="C177" s="12" t="inlineStr">
        <is>
          <t>ASPE scored the OBBBA's provisions directly rather than as CMS's proposed rules would implement them, over different years</t>
        </is>
      </c>
      <c r="D177" s="12" t="inlineStr">
        <is>
          <t>contextual [I]</t>
        </is>
      </c>
      <c r="E177" s="12" t="inlineStr">
        <is>
          <t>ASPE report</t>
        </is>
      </c>
      <c r="F177" s="12" t="inlineStr">
        <is>
          <t>Policy Changes section; footnotes VIII, XXII; note sec. 5 (ASPE's $891 billion)</t>
        </is>
      </c>
      <c r="G177" s="12" t="inlineStr">
        <is>
          <t>Note sec. 5</t>
        </is>
      </c>
      <c r="H177" s="12" t="inlineStr">
        <is>
          <t>Object of analysis</t>
        </is>
      </c>
      <c r="I177" s="12" t="inlineStr">
        <is>
          <t>statute, not rule</t>
        </is>
      </c>
      <c r="J177" s="12" t="inlineStr">
        <is>
          <t>2025–2034 vs CMS's 2026–2035</t>
        </is>
      </c>
      <c r="K177" s="12" t="inlineStr">
        <is>
          <t>unstated vs real 2026</t>
        </is>
      </c>
      <c r="L177" s="12" t="inlineStr">
        <is>
          <t>not comparable</t>
        </is>
      </c>
      <c r="M177" s="12" t="inlineStr">
        <is>
          <t>V1 output confirms the report analyzes Sections 71115–71117 and cites the proposed rules only as data inputs UPDATED October 11, 2026: v17 words the difference as statute-level scoring and different years; it no longer states the dollar basis (unstated vs real 2026) or that the report analyzes Section 71117. The V1 confirmation stands. The conclusion about THEIA's $916.9B is at TP-26. Previous wording: 'ASPE analyzes the statute rather than either proposed rule, on a different horizon and dollar basis'</t>
        </is>
      </c>
      <c r="N177" s="12" t="inlineStr">
        <is>
          <t>verified — NEEDS VERIFICATION [DL3] ASPE, August 12, 2026 is on the decision-log re-check list (secs. 5–6; App. H).</t>
        </is>
      </c>
    </row>
    <row r="178" ht="74.25" customHeight="1" s="10">
      <c r="A178" s="12" t="inlineStr">
        <is>
          <t>4. Third-party figures</t>
        </is>
      </c>
      <c r="B178" s="13" t="inlineStr">
        <is>
          <t>TP-14</t>
        </is>
      </c>
      <c r="C178" s="12" t="inlineStr">
        <is>
          <t>ASPE's price-side finding is the counterpart to the $35.0B private payer line in CMS-2452-P</t>
        </is>
      </c>
      <c r="D178" s="12" t="inlineStr">
        <is>
          <t>derived arithmetic — interpretive</t>
        </is>
      </c>
      <c r="E178" s="12" t="inlineStr">
        <is>
          <t>ASPE report; CMS-2452-P Table 8</t>
        </is>
      </c>
      <c r="F178" s="12" t="inlineStr">
        <is>
          <t>pp. 10–11; Table 8, 91 FR 46590</t>
        </is>
      </c>
      <c r="G178" s="12" t="inlineStr">
        <is>
          <t>Note sec. 3d</t>
        </is>
      </c>
      <c r="H178" s="12" t="inlineStr">
        <is>
          <t>Conceptual correspondence, not a numerical equivalence</t>
        </is>
      </c>
      <c r="I178" s="12" t="inlineStr">
        <is>
          <t>private payers</t>
        </is>
      </c>
      <c r="J178" s="12" t="inlineStr">
        <is>
          <t>differing</t>
        </is>
      </c>
      <c r="K178" s="12" t="inlineStr">
        <is>
          <t>differing</t>
        </is>
      </c>
      <c r="L178" s="12" t="inlineStr">
        <is>
          <t>differing</t>
        </is>
      </c>
      <c r="M178" s="12" t="inlineStr">
        <is>
          <t>Internal: both attribute part of the effect to commercial payers, but the horizons, bases and objects of analysis differ, so no numerical reconciliation is attempted or possible</t>
        </is>
      </c>
      <c r="N178" s="12" t="inlineStr">
        <is>
          <t>verified with caveat — interpretive, not an equivalence — NEEDS VERIFICATION [DL3] ASPE, August 12, 2026 is on the decision-log re-check list (secs. 5–6; App. H).</t>
        </is>
      </c>
    </row>
    <row r="179" ht="84.75" customHeight="1" s="10">
      <c r="A179" s="12" t="inlineStr">
        <is>
          <t>4. Third-party figures</t>
        </is>
      </c>
      <c r="B179" s="13" t="inlineStr">
        <is>
          <t>TP-15</t>
        </is>
      </c>
      <c r="C179" s="12" t="inlineStr">
        <is>
          <t>KFF's $155B, from its August 14, 2026 analysis of SDPs in 37 states, is the part of the SDP rule's $510B federal cut that KFF reports is also counted in the provider tax rule; that matches CMS's $154.9B federal share of the $241.9B overlap, so KFF and CMS report one finding, federal only versus federal plus state</t>
        </is>
      </c>
      <c r="D179" s="12" t="inlineStr">
        <is>
          <t>derived arithmetic [E]/[I]</t>
        </is>
      </c>
      <c r="E179" s="12" t="inlineStr">
        <is>
          <t>KFF Medicaid brief; CMS-2452-P</t>
        </is>
      </c>
      <c r="F179" s="12" t="inlineStr">
        <is>
          <t>91 FR 46592 (R1011); KFF, "At Least 37 States Have Medicaid State Directed Payments for Hospital Services That Could Be Reduced by the 2025 Reconciliation Law Limits," August 14, 2026; note sec. 5 ("KFF's $155 billion")</t>
        </is>
      </c>
      <c r="G179" s="12" t="inlineStr">
        <is>
          <t>KFF: "$155 billion of those reductions are also part of the reduced spending stemming from changes to provider tax rules"</t>
        </is>
      </c>
      <c r="H179" s="12" t="inlineStr">
        <is>
          <t>The same measurement on two different denominators</t>
        </is>
      </c>
      <c r="I179" s="12" t="inlineStr">
        <is>
          <t>federal only vs total computable</t>
        </is>
      </c>
      <c r="J179" s="12" t="inlineStr">
        <is>
          <t>FY2026–2035</t>
        </is>
      </c>
      <c r="K179" s="12" t="inlineStr">
        <is>
          <t>real 2026 dollars</t>
        </is>
      </c>
      <c r="L179" s="12" t="inlineStr">
        <is>
          <t>primary</t>
        </is>
      </c>
      <c r="M179" s="12" t="inlineStr">
        <is>
          <t>Internal: 154.9 rounds to 155. V1 output locates and quotes the KFF sentence and confirms it refers to OACT's $510B SDP estimate UPDATED September 27, 2026: the note now cites the KFF brief by title and date (August 14, 2026), the same brief as SE-01 UPDATED October 11, 2026: v17 words the first limb as KFF's report [E] and the match with CMS's $154.9B as THEIA's [I]. Previous wording: 'KFF's widely repeated $155B is the federal share of CMS's $241.9B overlap finding'</t>
        </is>
      </c>
      <c r="N179" s="12" t="inlineStr">
        <is>
          <t>verified — NEEDS VERIFICATION [DL3] KFF, August 14, 2026 (state file, expansion tracker, $155 billion) is on the decision-log re-check list (secs. 5–6; App. H).</t>
        </is>
      </c>
    </row>
    <row r="180" ht="116.25" customHeight="1" s="10">
      <c r="A180" s="12" t="inlineStr">
        <is>
          <t>4. Third-party figures</t>
        </is>
      </c>
      <c r="B180" s="13" t="inlineStr">
        <is>
          <t>TP-16</t>
        </is>
      </c>
      <c r="C180" s="12" t="inlineStr">
        <is>
          <t>The Federation of American Hospitals made net-of-tax methodology the central argument of its July 21 comment letter, urging CMS to account for the provider taxes that partly finance SDPs</t>
        </is>
      </c>
      <c r="D180" s="12" t="inlineStr">
        <is>
          <t>third-party position</t>
        </is>
      </c>
      <c r="E180" s="12" t="inlineStr">
        <is>
          <t>Federation of American Hospitals</t>
        </is>
      </c>
      <c r="F180" s="12" t="inlineStr">
        <is>
          <t>Comment letter, docket CMS-2026-1916, July 21, 2026</t>
        </is>
      </c>
      <c r="G180" s="12" t="inlineStr">
        <is>
          <t>Note sec. 3c</t>
        </is>
      </c>
      <c r="H180" s="12" t="inlineStr">
        <is>
          <t>A commenter's methodological position, not a quantitative estimate</t>
        </is>
      </c>
      <c r="I180" s="12" t="inlineStr">
        <is>
          <t>provider aggregate</t>
        </is>
      </c>
      <c r="J180" s="12" t="inlineStr">
        <is>
          <t>n/a</t>
        </is>
      </c>
      <c r="K180" s="12" t="inlineStr">
        <is>
          <t>n/a</t>
        </is>
      </c>
      <c r="L180" s="12" t="inlineStr">
        <is>
          <t>not scenario-dependent</t>
        </is>
      </c>
      <c r="M180" s="12" t="inlineStr">
        <is>
          <t>SUPERSEDED September 27, 2026. The note no longer says FAH made net-of-tax methodology 'the central argument' of its letter. It says FAH 'argued that CMS should account for the provider taxes that partly finance SDPs', citing p. 1 of FAH's comments on CMS-2449-P. Removed or reversed by: the revisions since the September 22, 2026 sync (four revisions, ending at v9); the supplied materials do not identify which of the four. Replaced by: TP-21. Original cross-check, retained for the record: One of the six sources section 3c names (formerly 'seven', section 3b) as already drawing the gross/net distinction. No verbatim quotation is carried in the note or in the available outputs, and the letter was not re-read for this ledger</t>
        </is>
      </c>
      <c r="N180" s="12" t="inlineStr">
        <is>
          <t>SUPERSEDED — 'central argument' characterization removed; replaced by TP-21</t>
        </is>
      </c>
    </row>
    <row r="181" ht="126.75" customHeight="1" s="10">
      <c r="A181" s="12" t="inlineStr">
        <is>
          <t>4. Third-party figures</t>
        </is>
      </c>
      <c r="B181" s="13" t="inlineStr">
        <is>
          <t>TP-17</t>
        </is>
      </c>
      <c r="C181" s="12" t="inlineStr">
        <is>
          <t>The Texas Hospital Association published paired gross and net figures in 2025; at least one state hospital association has published paired gross and net figures</t>
        </is>
      </c>
      <c r="D181" s="12" t="inlineStr">
        <is>
          <t>third-party estimate [E]</t>
        </is>
      </c>
      <c r="E181" s="12" t="inlineStr">
        <is>
          <t>Texas Hospital Association</t>
        </is>
      </c>
      <c r="F181" s="12" t="inlineStr">
        <is>
          <t>THA, "Proposed Medicaid Cuts Would Have Catastrophic Impact On Texas," 2025; note sec. 9 item 10, App. F ('Draft note, who nets provider taxes')</t>
        </is>
      </c>
      <c r="G181" s="12" t="inlineStr">
        <is>
          <t>Note App. F</t>
        </is>
      </c>
      <c r="H181" s="12" t="inlineStr">
        <is>
          <t>Paired gross and net state-level figures</t>
        </is>
      </c>
      <c r="I181" s="12" t="inlineStr">
        <is>
          <t>one state</t>
        </is>
      </c>
      <c r="J181" s="12" t="inlineStr">
        <is>
          <t>2025, while the reconciliation law was pending</t>
        </is>
      </c>
      <c r="K181" s="12" t="inlineStr">
        <is>
          <t>not stated</t>
        </is>
      </c>
      <c r="L181" s="12" t="inlineStr">
        <is>
          <t>not stated</t>
        </is>
      </c>
      <c r="M181" s="12" t="inlineStr">
        <is>
          <t>This is the instance whose existence bounds NC-09: paired figures exist for at least one state, a consistent multi-state version does not. No figures are reproduced in the note, so nothing here is arithmetically checkable UPDATED September 27, 2026: the note now gives the publication's title and year (2025, while the reconciliation law was pending). Not re-read for this ledger UPDATED October 11, 2026: v17 words this as 'a state hospital association' (sec. 9 item 10) and names the Texas Hospital Association in App. F; the earlier 'for both mechanisms' qualifier is not stated. Not re-read for this ledger. Previous wording: 'The Texas Hospital Association publishes paired gross and net figures for both mechanisms'</t>
        </is>
      </c>
      <c r="N181" s="12" t="inlineStr">
        <is>
          <t>single-source - existence claim only, no figures reproduced — NEEDS VERIFICATION [DL3] Texas Hospital Association paired gross and net figures, 2025, are on the decision-log re-check list (App. F; sec. 9 item 10).</t>
        </is>
      </c>
    </row>
    <row r="182" ht="137.25" customHeight="1" s="10">
      <c r="A182" s="12" t="inlineStr">
        <is>
          <t>4. Third-party figures</t>
        </is>
      </c>
      <c r="B182" s="13" t="inlineStr">
        <is>
          <t>TP-18</t>
        </is>
      </c>
      <c r="C182" s="12" t="inlineStr">
        <is>
          <t>The Georgetown CCF comment on CMS-2452-P compares CMS's $245.8B federal reduction with CBO's $191.1B Sec. 71115 score</t>
        </is>
      </c>
      <c r="D182" s="12" t="inlineStr">
        <is>
          <t>third-party position — context, not a note claim</t>
        </is>
      </c>
      <c r="E182" s="12" t="inlineStr">
        <is>
          <t>Georgetown CCF</t>
        </is>
      </c>
      <c r="F182" s="12" t="inlineStr">
        <is>
          <t>Comment, docket CMS-2026-2476, ID -0029, Sept 11, 2026</t>
        </is>
      </c>
      <c r="G182" s="12" t="inlineStr">
        <is>
          <t>Comment text</t>
        </is>
      </c>
      <c r="H182" s="12" t="inlineStr">
        <is>
          <t>A comparison of a CMS rule estimate with a CBO statutory score</t>
        </is>
      </c>
      <c r="I182" s="12" t="inlineStr">
        <is>
          <t>federal only</t>
        </is>
      </c>
      <c r="J182" s="12" t="inlineStr">
        <is>
          <t>FY2026–2035 vs FY2025–2034</t>
        </is>
      </c>
      <c r="K182" s="12" t="inlineStr">
        <is>
          <t>real 2026 vs nominal</t>
        </is>
      </c>
      <c r="L182" s="12" t="inlineStr">
        <is>
          <t>primary vs statutory score</t>
        </is>
      </c>
      <c r="M182" s="12" t="inlineStr">
        <is>
          <t>Logged for awareness; not cited in the note. The two figures differ on the five footnote 4 axes (SB-21; formerly footnote 5, SB-10). CCF uses CBO's outlay figure, which is the comparable measure for CMS spending (SB-17), so the mismatch is one of basis rather than of measure. Not to be added to the note: it would open a critique target for no gain. The note's sec. 1 and sec. 3b now state the $191.1B, which covers the point without naming anyone. Prepared for Q&amp;A UPDATED October 11, 2026: v17 App. F cites comment -0029, p. 1 among the commenters that cite CBO's Section 71115 estimate on both measures (SB-32); it does not state the Georgetown comparison of CMS's $245.8B with CBO's $191.1B. The row remains context, not a note claim.</t>
        </is>
      </c>
      <c r="N182" s="12" t="inlineStr">
        <is>
          <t>single-source — context only, not a note claim</t>
        </is>
      </c>
    </row>
    <row r="183" ht="178.5" customHeight="1" s="10">
      <c r="A183" s="12" t="inlineStr">
        <is>
          <t>4. Third-party figures</t>
        </is>
      </c>
      <c r="B183" s="13" t="inlineStr">
        <is>
          <t>TP-19</t>
        </is>
      </c>
      <c r="C183" s="12" t="inlineStr">
        <is>
          <t>Lipson's 'one-third' is a share of above-Medicare SDP arrangements, not of dollars, so it does not conflict with CMS's 55–75 percent range or 65 percent point estimate, which are shares of SDP spending</t>
        </is>
      </c>
      <c r="D183" s="12" t="inlineStr">
        <is>
          <t>third-party estimate — context, not a note claim</t>
        </is>
      </c>
      <c r="E183" s="12" t="inlineStr">
        <is>
          <t>Lipson, Health Affairs</t>
        </is>
      </c>
      <c r="F183" s="12" t="inlineStr">
        <is>
          <t>Sept 9, 2026</t>
        </is>
      </c>
      <c r="G183" s="12" t="inlineStr">
        <is>
          <t>Article</t>
        </is>
      </c>
      <c r="H183" s="12" t="inlineStr">
        <is>
          <t>Share of arrangements (a count), not of spending</t>
        </is>
      </c>
      <c r="I183" s="12" t="inlineStr">
        <is>
          <t>arrangement level</t>
        </is>
      </c>
      <c r="J183" s="12" t="inlineStr">
        <is>
          <t>not stated</t>
        </is>
      </c>
      <c r="K183" s="12" t="inlineStr">
        <is>
          <t>share</t>
        </is>
      </c>
      <c r="L183" s="12" t="inlineStr">
        <is>
          <t>not scenario-dependent</t>
        </is>
      </c>
      <c r="M183" s="12" t="inlineStr">
        <is>
          <t>SUPERSEDED September 27, 2026. Context row, not a note claim, but it contradicts the note. It treats CMS's 65 percent point estimate as a share of SDP spending. The note now gives CMS's own word for the 38, 37 and 65 percent figures as 'SDPs' (R1012: 'the percentage of SDPs funded through provider taxes'), with 'SDP spending' only in the 55–75 percent range sentence (CE-48). CMS does not say whether 'SDPs' counts arrangements or dollars, so the prepared answer, that Lipson's one-third and CMS's figures differ in denominator, cannot be given as written. Removed or reversed by: the revisions since the September 22, 2026 sync (four revisions, ending at v9); the supplied materials do not identify which of the four. Replaced by: none; the prepared answer is withdrawn pending re-derivation. Original cross-check, retained for the record: Different denominators: arrangements versus dollars (CE-20, CE-31). Prepared answer to 'Lipson says only a third of SDPs are tax-financed': that is a share of above-Medicare arrangements; CMS's range and point estimate are shares of SDP spending</t>
        </is>
      </c>
      <c r="N183" s="12" t="inlineStr">
        <is>
          <t>SUPERSEDED — premise conflicts with CE-48; no replacement row</t>
        </is>
      </c>
    </row>
    <row r="184" ht="32.25" customHeight="1" s="10">
      <c r="A184" s="12" t="inlineStr">
        <is>
          <t>4. Third-party figures</t>
        </is>
      </c>
      <c r="B184" s="13" t="inlineStr">
        <is>
          <t>TP-20</t>
        </is>
      </c>
      <c r="C184" s="12" t="inlineStr">
        <is>
          <t>Lipson's count of 39 states covers all four affected provider classes; KFF's 37 counts states with hospital SDPs likely affected</t>
        </is>
      </c>
      <c r="D184" s="12" t="inlineStr">
        <is>
          <t>third-party estimate — context, not a note claim</t>
        </is>
      </c>
      <c r="E184" s="12" t="inlineStr">
        <is>
          <t>Lipson, Health Affairs</t>
        </is>
      </c>
      <c r="F184" s="12" t="inlineStr">
        <is>
          <t>Sept 9, 2026</t>
        </is>
      </c>
      <c r="G184" s="12" t="inlineStr">
        <is>
          <t>Article</t>
        </is>
      </c>
      <c r="H184" s="12" t="inlineStr">
        <is>
          <t>Count of states with affected SDPs across all provider classes</t>
        </is>
      </c>
      <c r="I184" s="12" t="inlineStr">
        <is>
          <t>state count, all four provider classes</t>
        </is>
      </c>
      <c r="J184" s="12" t="inlineStr">
        <is>
          <t>not stated</t>
        </is>
      </c>
      <c r="K184" s="12" t="inlineStr">
        <is>
          <t>n/a</t>
        </is>
      </c>
      <c r="L184" s="12" t="inlineStr">
        <is>
          <t>not scenario-dependent</t>
        </is>
      </c>
      <c r="M184" s="12" t="inlineStr">
        <is>
          <t>Different scope from SE-01, which counts hospital SDPs only, so the two counts do not conflict. Prepared answer to '39 states, not 37'</t>
        </is>
      </c>
      <c r="N184" s="12" t="inlineStr">
        <is>
          <t>single-source — context only, not a note claim</t>
        </is>
      </c>
    </row>
    <row r="185" ht="126.75" customHeight="1" s="10">
      <c r="A185" s="12" t="inlineStr">
        <is>
          <t>4. Third-party figures</t>
        </is>
      </c>
      <c r="B185" s="13" t="inlineStr">
        <is>
          <t>TP-21</t>
        </is>
      </c>
      <c r="C185" s="12" t="inlineStr">
        <is>
          <t>The Federation of American Hospitals asked CMS to count the provider taxes that partly fund SDPs when it calculates the rate tested against the cap</t>
        </is>
      </c>
      <c r="D185" s="12" t="inlineStr">
        <is>
          <t>third-party position [E]</t>
        </is>
      </c>
      <c r="E185" s="12" t="inlineStr">
        <is>
          <t>Federation of American Hospitals</t>
        </is>
      </c>
      <c r="F185" s="12" t="inlineStr">
        <is>
          <t>FAH comments on CMS-2449-P, comment CMS-2026-1916-0676, p. 2 (docket CMS-2026-1916); note App. F ('Draft note, who nets provider taxes')</t>
        </is>
      </c>
      <c r="G185" s="12" t="inlineStr">
        <is>
          <t>Note App. F</t>
        </is>
      </c>
      <c r="H185" s="12" t="inlineStr">
        <is>
          <t>A commenter's methodological position, not a quantitative estimate</t>
        </is>
      </c>
      <c r="I185" s="12" t="inlineStr">
        <is>
          <t>provider aggregate</t>
        </is>
      </c>
      <c r="J185" s="12" t="inlineStr">
        <is>
          <t>n/a</t>
        </is>
      </c>
      <c r="K185" s="12" t="inlineStr">
        <is>
          <t>n/a</t>
        </is>
      </c>
      <c r="L185" s="12" t="inlineStr">
        <is>
          <t>not scenario-dependent</t>
        </is>
      </c>
      <c r="M185" s="12" t="inlineStr">
        <is>
          <t>Pin cite recorded from the note. The letter was not re-read for this ledger. Replaces TP-16, which described this as the letter's 'central argument' UPDATED October 11, 2026: v17 moves the FAH point to App. F, cites the comment ID and p. 2 (the earlier pin cite was p. 1), and states what FAH asked for (the rate for the cap test). The comment ID and page were located by the analyst (F-019) and are on the 'citation to add after verification' list. The letter was not re-read for this ledger. Previous wording: 'The Federation of American Hospitals, in its July 21 comment letter on the SDP rule, argued that CMS should account for the provider taxes that partly finance SDPs'</t>
        </is>
      </c>
      <c r="N185" s="12" t="inlineStr">
        <is>
          <t>single-source - pin cite located by the comment analyst; letter not re-read — NEEDS VERIFICATION [DL4] Comment CMS-2026-1916-0676, p. 2 is on the 'citation to add after verification' list (change map, v2 list item 1).</t>
        </is>
      </c>
    </row>
    <row r="186" ht="116.25" customHeight="1" s="10">
      <c r="A186" s="12" t="inlineStr">
        <is>
          <t>4. Third-party figures</t>
        </is>
      </c>
      <c r="B186" s="13" t="inlineStr">
        <is>
          <t>TP-22</t>
        </is>
      </c>
      <c r="C186" s="12" t="inlineStr">
        <is>
          <t>HFMA's headline uses $220 billion; the $56.6 billion appears once, in the body</t>
        </is>
      </c>
      <c r="D186" s="12" t="inlineStr">
        <is>
          <t>third-party estimate</t>
        </is>
      </c>
      <c r="E186" s="12" t="inlineStr">
        <is>
          <t>HFMA</t>
        </is>
      </c>
      <c r="F186" s="12" t="inlineStr">
        <is>
          <t>"Medicaid provider tax proposed rule could cut payments by $220 billion over 10 years," July 22, 2026</t>
        </is>
      </c>
      <c r="G186" s="12" t="inlineStr">
        <is>
          <t>Headline; body passage at TP-01</t>
        </is>
      </c>
      <c r="H186" s="12" t="inlineStr">
        <is>
          <t>Which figure HFMA leads with</t>
        </is>
      </c>
      <c r="I186" s="12" t="inlineStr">
        <is>
          <t>provider aggregate</t>
        </is>
      </c>
      <c r="J186" s="12" t="inlineStr">
        <is>
          <t>2026–2035</t>
        </is>
      </c>
      <c r="K186" s="12" t="inlineStr">
        <is>
          <t>unstated</t>
        </is>
      </c>
      <c r="L186" s="12" t="inlineStr">
        <is>
          <t>not stated</t>
        </is>
      </c>
      <c r="M186" s="12" t="inlineStr">
        <is>
          <t>SUPERSEDED October 11, 2026. v17 does not say that HFMA's headline uses $220 billion or that the $56.6 billion appears once, in the body. It says only that HFMA's July 22 article reported the three figures. Removed or reversed by: the revisions between the v9 sync and v17 (the supplied decision log and change map do not identify which revision removed the statement). Replaced by: none (removed, not reversed); the passage is at TP-01. Original cross-check, retained for the record: Headline as recorded at TP-01. The C3 full-text review found one passage containing all three figures (TP-01); 'appears once' rests on that review</t>
        </is>
      </c>
      <c r="N186" s="12" t="inlineStr">
        <is>
          <t>SUPERSEDED — HFMA headline no longer discussed</t>
        </is>
      </c>
    </row>
    <row r="187" ht="63.75" customHeight="1" s="10">
      <c r="A187" s="12" t="inlineStr">
        <is>
          <t>4. Third-party figures</t>
        </is>
      </c>
      <c r="B187" s="13" t="inlineStr">
        <is>
          <t>TP-23</t>
        </is>
      </c>
      <c r="C187" s="12" t="inlineStr">
        <is>
          <t>HFMA's stated baseline matches CMS's, which is measured against a scenario without the 2025 law</t>
        </is>
      </c>
      <c r="D187" s="12" t="inlineStr">
        <is>
          <t>third-party estimate + CMS estimate (baseline) [E]/[I]</t>
        </is>
      </c>
      <c r="E187" s="12" t="inlineStr">
        <is>
          <t>HFMA; CMS-2452-P RIA</t>
        </is>
      </c>
      <c r="F187" s="12" t="inlineStr">
        <is>
          <t>HFMA, July 22, 2026; CMS-2452-P 91 FR 46562 RIA; Tables 5, 9, 10, 91 FR 46589–46591; note sec. 5 (HFMA paragraph); sec. 3</t>
        </is>
      </c>
      <c r="G187" s="12" t="inlineStr">
        <is>
          <t>HFMA: "compared with a scenario in which there is no OBBBA and no proposed rule"</t>
        </is>
      </c>
      <c r="H187" s="12" t="inlineStr">
        <is>
          <t>Baseline correspondence</t>
        </is>
      </c>
      <c r="I187" s="12" t="inlineStr">
        <is>
          <t>provider aggregate</t>
        </is>
      </c>
      <c r="J187" s="12" t="inlineStr">
        <is>
          <t>FY2026–2035</t>
        </is>
      </c>
      <c r="K187" s="12" t="inlineStr">
        <is>
          <t>real 2026 dollars</t>
        </is>
      </c>
      <c r="L187" s="12" t="inlineStr">
        <is>
          <t>primary, excluding interaction</t>
        </is>
      </c>
      <c r="M187" s="12" t="inlineStr">
        <is>
          <t>HFMA wording at TP-04. CMS's 'pre-statute' baseline and the Tables 5, 9, 10 captions verified at D-16 (CE-43). Replaces TP-05. Resolves D-9 in HFMA's favour UPDATED October 11, 2026: v17 states the match as 'HFMA's July 22, 2026 article, which describes the same no-OBBBA comparison point as CMS'.</t>
        </is>
      </c>
      <c r="N187" s="12" t="inlineStr">
        <is>
          <t>verified - pre-statute baseline verified at D-16 — NEEDS VERIFICATION [DL3] HFMA, July 22, 2026 is on the decision-log re-check list (secs. 5–6; App. H).</t>
        </is>
      </c>
    </row>
    <row r="188" ht="147.75" customHeight="1" s="10">
      <c r="A188" s="12" t="inlineStr">
        <is>
          <t>4. Third-party figures</t>
        </is>
      </c>
      <c r="B188" s="13" t="inlineStr">
        <is>
          <t>TP-24</t>
        </is>
      </c>
      <c r="C188" s="12" t="inlineStr">
        <is>
          <t>HFMA's $56.6B appears, on THEIA Services' reading, to subtract the $163.7B in lower provider taxes twice: $220.3B matches the provider line of CMS's Table 12, which already subtracts the $163.7B. If this reading is right, HFMA understates the provider tax rule's standalone net effect, a $220.3B loss</t>
        </is>
      </c>
      <c r="D188" s="12" t="inlineStr">
        <is>
          <t>derived arithmetic - interpretive [I]</t>
        </is>
      </c>
      <c r="E188" s="12" t="inlineStr">
        <is>
          <t>CMS-2452-P Tables 8, 12; HFMA</t>
        </is>
      </c>
      <c r="F188" s="12" t="inlineStr">
        <is>
          <t>91 FR 46590, 46592; R0559, R0702; note sec. 5 (HFMA's $56.6 billion)</t>
        </is>
      </c>
      <c r="G188" s="12" t="inlineStr">
        <is>
          <t>Note sec. 5</t>
        </is>
      </c>
      <c r="H188" s="12" t="inlineStr">
        <is>
          <t>Diagnosis of an apparent double subtraction</t>
        </is>
      </c>
      <c r="I188" s="12" t="inlineStr">
        <is>
          <t>provider aggregate</t>
        </is>
      </c>
      <c r="J188" s="12" t="inlineStr">
        <is>
          <t>2026–2035</t>
        </is>
      </c>
      <c r="K188" s="12" t="inlineStr">
        <is>
          <t>mixed</t>
        </is>
      </c>
      <c r="L188" s="12" t="inlineStr">
        <is>
          <t>primary</t>
        </is>
      </c>
      <c r="M188" s="12" t="inlineStr">
        <is>
          <t>Internal: 220.3 − 163.7 = 56.6 exactly, and CE-36 establishes that 220.3 is already net of the same 163.7. Absence of 56.6 from both RIAs at TP-07 and NC-08. Georgetown CCF's net reading at TP-08. Replaces TP-06, which stated the double subtraction as fact UPDATED October 11, 2026: v17 drops two clauses of the earlier wording: 'or it comes from a source the note did not locate' and 'the components HFMA cites are correct'. The Table 12 caption evidence is at CE-37. Previous wording: 'On the note's reading, the $56.6B is Table 12's provider line with the tax relief counted a second time, or it comes from a source the note did not locate. The components HFMA cites are correct. If the reading is right, the $56.6B understates the rule's standalone net provider reduction, which is $220.3B'</t>
        </is>
      </c>
      <c r="N188" s="12" t="inlineStr">
        <is>
          <t>verified with caveat - the arithmetic closes; the note presents it as a reading — NEEDS VERIFICATION [DL3] HFMA, July 22, 2026 is on the decision-log re-check list (secs. 5–6; App. H).</t>
        </is>
      </c>
    </row>
    <row r="189" ht="116.25" customHeight="1" s="10">
      <c r="A189" s="12" t="inlineStr">
        <is>
          <t>4. Third-party figures</t>
        </is>
      </c>
      <c r="B189" s="13" t="inlineStr">
        <is>
          <t>TP-25</t>
        </is>
      </c>
      <c r="C189" s="12" t="inlineStr">
        <is>
          <t>HFMA's own article treats the States row as net of lost tax revenue</t>
        </is>
      </c>
      <c r="D189" s="12" t="inlineStr">
        <is>
          <t>third-party estimate</t>
        </is>
      </c>
      <c r="E189" s="12" t="inlineStr">
        <is>
          <t>HFMA article</t>
        </is>
      </c>
      <c r="F189" s="12" t="inlineStr">
        <is>
          <t>July 22, 2026</t>
        </is>
      </c>
      <c r="G189" s="12" t="inlineStr">
        <is>
          <t>Note sec. 3a</t>
        </is>
      </c>
      <c r="H189" s="12" t="inlineStr">
        <is>
          <t>HFMA's reading of Table 12's States row</t>
        </is>
      </c>
      <c r="I189" s="12" t="inlineStr">
        <is>
          <t>state only</t>
        </is>
      </c>
      <c r="J189" s="12" t="inlineStr">
        <is>
          <t>2026–2035</t>
        </is>
      </c>
      <c r="K189" s="12" t="inlineStr">
        <is>
          <t>unstated</t>
        </is>
      </c>
      <c r="L189" s="12" t="inlineStr">
        <is>
          <t>primary</t>
        </is>
      </c>
      <c r="M189" s="12" t="inlineStr">
        <is>
          <t>SUPERSEDED October 11, 2026. v17 does not say that HFMA's own article treats the States row as net of lost tax revenue. The row was single-source and not located in the excerpts the ledger carries. Removed or reversed by: the revisions between the v9 sync and v17 (the supplied decision log and change map do not identify which revision removed the statement). Replaced by: none (removed, not reversed). Original cross-check, retained for the record: Rests on the note's reading of the HFMA article. The passage is not among the C3 excerpts carried in this ledger. If confirmed, it shows HFMA reading one Table 12 row as net and not the provider row</t>
        </is>
      </c>
      <c r="N189" s="12" t="inlineStr">
        <is>
          <t>SUPERSEDED — not stated in v17</t>
        </is>
      </c>
    </row>
    <row r="190" ht="95.25" customHeight="1" s="10">
      <c r="A190" s="12" t="inlineStr">
        <is>
          <t>4. Third-party figures</t>
        </is>
      </c>
      <c r="B190" s="13" t="inlineStr">
        <is>
          <t>TP-26</t>
        </is>
      </c>
      <c r="C190" s="12" t="inlineStr">
        <is>
          <t>ASPE's $891B cannot be compared directly with THEIA Services' combined $916.9B, because ASPE scored the OBBBA's provisions directly rather than as CMS's proposed rules would implement them, over different years</t>
        </is>
      </c>
      <c r="D190" s="12" t="inlineStr">
        <is>
          <t>derived arithmetic - context [I]</t>
        </is>
      </c>
      <c r="E190" s="12" t="inlineStr">
        <is>
          <t>ASPE; both RIAs</t>
        </is>
      </c>
      <c r="F190" s="12" t="inlineStr">
        <is>
          <t>ASPE, Aug 12, 2026, p. 11; CE-38; note sec. 5 (ASPE's $891 billion)</t>
        </is>
      </c>
      <c r="G190" s="12" t="inlineStr">
        <is>
          <t>Note sec. 5</t>
        </is>
      </c>
      <c r="H190" s="12" t="inlineStr">
        <is>
          <t>Order-of-magnitude comparison only</t>
        </is>
      </c>
      <c r="I190" s="12" t="inlineStr">
        <is>
          <t>total computable</t>
        </is>
      </c>
      <c r="J190" s="12" t="inlineStr">
        <is>
          <t>2025–2034 vs 2026–2035</t>
        </is>
      </c>
      <c r="K190" s="12" t="inlineStr">
        <is>
          <t>unstated vs real 2026</t>
        </is>
      </c>
      <c r="L190" s="12" t="inlineStr">
        <is>
          <t>sensitivity vs primary</t>
        </is>
      </c>
      <c r="M190" s="12" t="inlineStr">
        <is>
          <t>TP-10 for the $891B; CE-38 for the $916.9B. The note draws no inference, and the ledger draws none UPDATED October 11, 2026: v17 states the comparison as a cannot-compare conclusion; the earlier 'for scale' wording ('no inference about ASPE's treatment of overlap is drawn') is not stated. The bases are at TP-13. Previous wording: 'For scale, CMS's overlap-adjusted combined estimate is $916.9B against ASPE's $891B; the windows and dollar bases differ, so no inference about ASPE's treatment of overlap is drawn'</t>
        </is>
      </c>
      <c r="N190" s="12" t="inlineStr">
        <is>
          <t>verified — NEEDS VERIFICATION [DL3] ASPE, August 12, 2026 is on the decision-log re-check list (secs. 5–6; App. H).</t>
        </is>
      </c>
    </row>
    <row r="191" ht="126.75" customHeight="1" s="10">
      <c r="A191" s="12" t="inlineStr">
        <is>
          <t>4. Third-party figures</t>
        </is>
      </c>
      <c r="B191" s="13" t="inlineStr">
        <is>
          <t>TP-27</t>
        </is>
      </c>
      <c r="C191" s="12" t="inlineStr">
        <is>
          <t>HFMA, Georgetown CCF and KFF each label their measures by what they measure, and KFF publishes its imputation methodology and caveats</t>
        </is>
      </c>
      <c r="D191" s="12" t="inlineStr">
        <is>
          <t>third-party position</t>
        </is>
      </c>
      <c r="E191" s="12" t="inlineStr">
        <is>
          <t>HFMA; Georgetown CCF; KFF</t>
        </is>
      </c>
      <c r="F191" s="12" t="inlineStr">
        <is>
          <t>TP-01; TP-08; KFF brief, Aug 14, 2026, Methods</t>
        </is>
      </c>
      <c r="G191" s="12" t="inlineStr">
        <is>
          <t>Note sec. 3c</t>
        </is>
      </c>
      <c r="H191" s="12" t="inlineStr">
        <is>
          <t>Labelling practice of three sources</t>
        </is>
      </c>
      <c r="I191" s="12" t="inlineStr">
        <is>
          <t>n/a</t>
        </is>
      </c>
      <c r="J191" s="12" t="inlineStr">
        <is>
          <t>n/a</t>
        </is>
      </c>
      <c r="K191" s="12" t="inlineStr">
        <is>
          <t>n/a</t>
        </is>
      </c>
      <c r="L191" s="12" t="inlineStr">
        <is>
          <t>not scenario-dependent</t>
        </is>
      </c>
      <c r="M191" s="12" t="inlineStr">
        <is>
          <t>SUPERSEDED October 11, 2026. v17 has no section on how HFMA, Georgetown CCF and KFF label their measures (the former sec. 3c is gone), and does not say that KFF publishes its imputation methodology and caveats. The sentence that remains for each source is at TP-01, TP-08 and TP-15. Removed or reversed by: the restructure of the former section 3 (the supplied decision log and change map do not identify the single revision). Replaced by: none (removed, not reversed). Original cross-check, retained for the record: HFMA's passage labels the $220.3B against its baseline (TP-01); Georgetown states the after-tax qualification (TP-08); KFF's Methods quote and caveat at SE-15 and SE-16</t>
        </is>
      </c>
      <c r="N191" s="12" t="inlineStr">
        <is>
          <t>SUPERSEDED — sector-labelling comparison no longer stated</t>
        </is>
      </c>
    </row>
    <row r="192" ht="116.25" customHeight="1" s="10">
      <c r="A192" s="12" t="inlineStr">
        <is>
          <t>4. Third-party figures</t>
        </is>
      </c>
      <c r="B192" s="13" t="inlineStr">
        <is>
          <t>TP-28</t>
        </is>
      </c>
      <c r="C192" s="12" t="inlineStr">
        <is>
          <t>Press reports describe hospitals lobbying against the rules</t>
        </is>
      </c>
      <c r="D192" s="12" t="inlineStr">
        <is>
          <t>contextual</t>
        </is>
      </c>
      <c r="E192" s="12" t="inlineStr">
        <is>
          <t>POLITICO</t>
        </is>
      </c>
      <c r="F192" s="12" t="inlineStr">
        <is>
          <t>POLITICO, September 2, 2026</t>
        </is>
      </c>
      <c r="G192" s="12" t="inlineStr">
        <is>
          <t>Note sec. 7, item 11</t>
        </is>
      </c>
      <c r="H192" s="12" t="inlineStr">
        <is>
          <t>Existence of reported lobbying opposition</t>
        </is>
      </c>
      <c r="I192" s="12" t="inlineStr">
        <is>
          <t>n/a</t>
        </is>
      </c>
      <c r="J192" s="12" t="inlineStr">
        <is>
          <t>as of Sept 2, 2026</t>
        </is>
      </c>
      <c r="K192" s="12" t="inlineStr">
        <is>
          <t>n/a</t>
        </is>
      </c>
      <c r="L192" s="12" t="inlineStr">
        <is>
          <t>not scenario-dependent</t>
        </is>
      </c>
      <c r="M192" s="12" t="inlineStr">
        <is>
          <t>SUPERSEDED October 11, 2026. v17 does not say that press reports describe hospitals lobbying against the rules. Sec. 9 item 7 mentions only lawsuits and the two repeal bills. The POLITICO citation is no longer used for this purpose. Removed or reversed by: the revisions between the v9 sync and v17 (the supplied decision log and change map do not identify which revision removed the sentence). Replaced by: none (removed, not reversed); NC-15 updated to match. Original cross-check, retained for the record: Citation recorded from the note; the same outlet and date as the $681B article (SB-01). The lobbying passage was not re-read for this ledger</t>
        </is>
      </c>
      <c r="N192" s="12" t="inlineStr">
        <is>
          <t>SUPERSEDED — lobbying report no longer stated</t>
        </is>
      </c>
    </row>
    <row r="193" ht="84.75" customHeight="1" s="10">
      <c r="A193" s="12" t="inlineStr">
        <is>
          <t>4. Third-party figures</t>
        </is>
      </c>
      <c r="B193" s="13" t="inlineStr">
        <is>
          <t>TP-29</t>
        </is>
      </c>
      <c r="C193" s="12" t="inlineStr">
        <is>
          <t>Of the five comments on the provider tax rule that cite $220.3B (five distinct texts, the same as filed and corrected), four describe it as a payment cut (comments CMS-2026-2476-0049, -0085, -0190 and -0201) and one as net of lower taxes (-0212); none arrives at $56.6B</t>
        </is>
      </c>
      <c r="D193" s="12" t="inlineStr">
        <is>
          <t>third-party position [E]</t>
        </is>
      </c>
      <c r="E193" s="12" t="inlineStr">
        <is>
          <t>Comments on CMS-2452-P</t>
        </is>
      </c>
      <c r="F193" s="12" t="inlineStr">
        <is>
          <t>Comments CMS-2026-2476-0049, -0085, -0190, -0201, -0212; note sec. 5 (HFMA paragraph)</t>
        </is>
      </c>
      <c r="G193" s="12" t="inlineStr">
        <is>
          <t>Note sec. 5</t>
        </is>
      </c>
      <c r="H193" s="12" t="inlineStr">
        <is>
          <t>How commenters describe the $220.3B</t>
        </is>
      </c>
      <c r="I193" s="12" t="inlineStr">
        <is>
          <t>provider tax rule docket</t>
        </is>
      </c>
      <c r="J193" s="12" t="inlineStr">
        <is>
          <t>snapshot October 7, 2026</t>
        </is>
      </c>
      <c r="K193" s="12" t="inlineStr">
        <is>
          <t>real 2026 dollars</t>
        </is>
      </c>
      <c r="L193" s="12" t="inlineStr">
        <is>
          <t>central, excluding interaction</t>
        </is>
      </c>
      <c r="M193" s="12" t="inlineStr">
        <is>
          <t>Located by the comment analyst (F-013); the letters were not re-read in the verification files. Bears on TP-24: most commenters describe the $220.3B as a payment cut, but none reaches $56.6B.</t>
        </is>
      </c>
      <c r="N193" s="12" t="inlineStr">
        <is>
          <t>single-source — comment analyst's findings; letters not re-read — NEEDS VERIFICATION [DL4] Comment IDs on the 'citation to add after verification' list (change map, v2 list item 7: F-013).</t>
        </is>
      </c>
    </row>
    <row r="194" ht="63.75" customHeight="1" s="10">
      <c r="A194" s="12" t="inlineStr">
        <is>
          <t>4. Third-party figures</t>
        </is>
      </c>
      <c r="B194" s="13" t="inlineStr">
        <is>
          <t>TP-30</t>
        </is>
      </c>
      <c r="C194" s="12" t="inlineStr">
        <is>
          <t>The most recent state-by-state dollar figures for SDP financing by source cover 2022 (Government Accountability Office, GAO-24-106202, Table 4)</t>
        </is>
      </c>
      <c r="D194" s="12" t="inlineStr">
        <is>
          <t>third-party estimate (federal oversight body) [E]</t>
        </is>
      </c>
      <c r="E194" s="12" t="inlineStr">
        <is>
          <t>GAO</t>
        </is>
      </c>
      <c r="F194" s="12" t="inlineStr">
        <is>
          <t>GAO-24-106202, Table 4; note sec. 2</t>
        </is>
      </c>
      <c r="G194" s="12" t="inlineStr">
        <is>
          <t>Note sec. 2</t>
        </is>
      </c>
      <c r="H194" s="12" t="inlineStr">
        <is>
          <t>Dollars of SDP financing by source and state, as of the latest available report</t>
        </is>
      </c>
      <c r="I194" s="12" t="inlineStr">
        <is>
          <t>state level</t>
        </is>
      </c>
      <c r="J194" s="12" t="inlineStr">
        <is>
          <t>2022</t>
        </is>
      </c>
      <c r="K194" s="12" t="inlineStr">
        <is>
          <t>not stated</t>
        </is>
      </c>
      <c r="L194" s="12" t="inlineStr">
        <is>
          <t>not scenario-dependent</t>
        </is>
      </c>
      <c r="M194" s="12" t="inlineStr">
        <is>
          <t>Not read in the verification files or for this ledger. The change map lists GAO-24-106202 Table 4 as an existing citation 'still open' (U-5). Supports NC-18.</t>
        </is>
      </c>
      <c r="N194" s="12" t="inlineStr">
        <is>
          <t>single-source — not re-read in the review or for this ledger — NEEDS VERIFICATION [DL3] GAO-24-106202, Table 4 is on the decision-log re-check list (sec. 2).</t>
        </is>
      </c>
    </row>
    <row r="195" ht="95.25" customHeight="1" s="10">
      <c r="A195" s="12" t="inlineStr">
        <is>
          <t>4. Third-party figures</t>
        </is>
      </c>
      <c r="B195" s="13" t="inlineStr">
        <is>
          <t>TP-31</t>
        </is>
      </c>
      <c r="C195" s="12" t="inlineStr">
        <is>
          <t>The Children's Hospital Association of Texas describes Texas v. CMS, 805 F. Supp. 3d 734 (E.D. Tex. 2025), as a permanent injunction against CMS's hold harmless test for Texas's local provider participation funds</t>
        </is>
      </c>
      <c r="D195" s="12" t="inlineStr">
        <is>
          <t>third-party position [E]</t>
        </is>
      </c>
      <c r="E195" s="12" t="inlineStr">
        <is>
          <t>Children's Hospital Association of Texas, comment CMS-2026-2476-0114</t>
        </is>
      </c>
      <c r="F195" s="12" t="inlineStr">
        <is>
          <t>Comment CMS-2026-2476-0114, pp. 13–14 of 14; note sec. 9 item 6</t>
        </is>
      </c>
      <c r="G195" s="12" t="inlineStr">
        <is>
          <t>Note sec. 9, item 6</t>
        </is>
      </c>
      <c r="H195" s="12" t="inlineStr">
        <is>
          <t>A commenter's description of a court ruling</t>
        </is>
      </c>
      <c r="I195" s="12" t="inlineStr">
        <is>
          <t>Texas</t>
        </is>
      </c>
      <c r="J195" s="12" t="inlineStr">
        <is>
          <t>2025</t>
        </is>
      </c>
      <c r="K195" s="12" t="inlineStr">
        <is>
          <t>n/a</t>
        </is>
      </c>
      <c r="L195" s="12" t="inlineStr">
        <is>
          <t>not scenario-dependent</t>
        </is>
      </c>
      <c r="M195" s="12" t="inlineStr">
        <is>
          <t>Verification summary (F-024): the court ruling could not be read (courtlistener.com refused; govinfo's court-opinion search found no match); CHAT's 'permanently enjoined' description is secondary. Round 3 item 6 found no source for 'set aside'. The case caption is unverifiable. See RM-26.</t>
        </is>
      </c>
      <c r="N195" s="12" t="inlineStr">
        <is>
          <t>single-source — CHAT's description; the ruling was not read — NEEDS VERIFICATION [DL4] Comment CMS-2026-2476-0114, pp. 13–14 is on the 'citation to add after verification' list (change map, v2 list item 7: F-024).</t>
        </is>
      </c>
    </row>
    <row r="196" ht="105.75" customHeight="1" s="10">
      <c r="A196" s="12" t="inlineStr">
        <is>
          <t>4. Third-party figures</t>
        </is>
      </c>
      <c r="B196" s="13" t="inlineStr">
        <is>
          <t>TP-32</t>
        </is>
      </c>
      <c r="C196" s="12" t="inlineStr">
        <is>
          <t>One commenter describes CMS's 65 percent as a share of SDP spending (comment CMS-2026-2476-0204, p. 10); CMS states the 65 percent as a share of SDPs and its 55 to 75 percent range as a share of SDP spending (91 FR 46592)</t>
        </is>
      </c>
      <c r="D196" s="12" t="inlineStr">
        <is>
          <t>third-party position [E]</t>
        </is>
      </c>
      <c r="E196" s="12" t="inlineStr">
        <is>
          <t>Comment on CMS-2452-P; CMS-2452-P</t>
        </is>
      </c>
      <c r="F196" s="12" t="inlineStr">
        <is>
          <t>Comment CMS-2026-2476-0204, p. 10; 91 FR 46592; note App. D ('Draft note, how readers restate the 65 percent')</t>
        </is>
      </c>
      <c r="G196" s="12" t="inlineStr">
        <is>
          <t>Note App. D</t>
        </is>
      </c>
      <c r="H196" s="12" t="inlineStr">
        <is>
          <t>Denominator wording of the 65 percent</t>
        </is>
      </c>
      <c r="I196" s="12" t="inlineStr">
        <is>
          <t>SDPs</t>
        </is>
      </c>
      <c r="J196" s="12" t="inlineStr">
        <is>
          <t>n/a</t>
        </is>
      </c>
      <c r="K196" s="12" t="inlineStr">
        <is>
          <t>n/a - a share</t>
        </is>
      </c>
      <c r="L196" s="12" t="inlineStr">
        <is>
          <t>central</t>
        </is>
      </c>
      <c r="M196" s="12" t="inlineStr">
        <is>
          <t>The CMS limb is the wording recorded at CE-48 (R1012; range sentence at CE-31). The commenter limb was located by the analyst (F-009) and not re-read in the verification files.</t>
        </is>
      </c>
      <c r="N196" s="12" t="inlineStr">
        <is>
          <t>verified with caveat — CMS wording confirmed (CE-48); commenter's wording located only — NEEDS VERIFICATION [DL4] Comment CMS-2026-2476-0204, p. 10 is on the 'citation to add after verification' list (change map, v2 list item 7: F-009).</t>
        </is>
      </c>
    </row>
    <row r="197" ht="84.75" customHeight="1" s="10">
      <c r="A197" s="12" t="inlineStr">
        <is>
          <t>4. Third-party figures</t>
        </is>
      </c>
      <c r="B197" s="13" t="inlineStr">
        <is>
          <t>TP-33</t>
        </is>
      </c>
      <c r="C197" s="12" t="inlineStr">
        <is>
          <t>Some commenters repeat the $264.4B from CMS's SDP rule text rather than the $264.7B in the table (comments CMS-2026-1916-0417, p. 6; -0509, p. 38; -0648, p. 3)</t>
        </is>
      </c>
      <c r="D197" s="12" t="inlineStr">
        <is>
          <t>third-party position [E]</t>
        </is>
      </c>
      <c r="E197" s="12" t="inlineStr">
        <is>
          <t>Comments on CMS-2449-P</t>
        </is>
      </c>
      <c r="F197" s="12" t="inlineStr">
        <is>
          <t>Comments CMS-2026-1916-0417, -0509, -0648; note App. E ('Draft note, text against tables')</t>
        </is>
      </c>
      <c r="G197" s="12" t="inlineStr">
        <is>
          <t>Note App. E</t>
        </is>
      </c>
      <c r="H197" s="12" t="inlineStr">
        <is>
          <t>Which version of the SDP rule's state figure commenters use</t>
        </is>
      </c>
      <c r="I197" s="12" t="inlineStr">
        <is>
          <t>SDP rule docket</t>
        </is>
      </c>
      <c r="J197" s="12" t="inlineStr">
        <is>
          <t>snapshot October 7, 2026</t>
        </is>
      </c>
      <c r="K197" s="12" t="inlineStr">
        <is>
          <t>real 2026 dollars</t>
        </is>
      </c>
      <c r="L197" s="12" t="inlineStr">
        <is>
          <t>central</t>
        </is>
      </c>
      <c r="M197" s="12" t="inlineStr">
        <is>
          <t>Located by the comment analyst (F-020). The verification summary notes F-020 'was not re-checked or edited'. The CMS figures themselves are at CE-03.</t>
        </is>
      </c>
      <c r="N197" s="12" t="inlineStr">
        <is>
          <t>single-source — comment analyst's finding; letters not re-read — NEEDS VERIFICATION [DL4] Comment IDs on the 'citation to add after verification' list (change map, v2 list item 7: F-020).</t>
        </is>
      </c>
    </row>
    <row r="198" ht="95.25" customHeight="1" s="10">
      <c r="A198" s="12" t="inlineStr">
        <is>
          <t>4. Third-party figures</t>
        </is>
      </c>
      <c r="B198" s="13" t="inlineStr">
        <is>
          <t>TP-34</t>
        </is>
      </c>
      <c r="C198" s="12" t="inlineStr">
        <is>
          <t>Some commenters present CMS's figures after counting the SDP rule first as the provider tax rule's own effect, such as $90.9B in federal spending and, from the high-savings estimate, a $136.1B provider loss (comments CMS-2026-2476-0145, pp. 3–4; -0093, p. 8); one national payer group appears to describe the $154.9B federal overlap as the reduction left after the SDP rule (comment -0101, p. 1), and another gives CMS's federal range without its high-savings estimate (comment -0091, p. 27)</t>
        </is>
      </c>
      <c r="D198" s="12" t="inlineStr">
        <is>
          <t>third-party position [E]/[I]</t>
        </is>
      </c>
      <c r="E198" s="12" t="inlineStr">
        <is>
          <t>Comments on CMS-2452-P</t>
        </is>
      </c>
      <c r="F198" s="12" t="inlineStr">
        <is>
          <t>Comments CMS-2026-2476-0145, -0093, -0101, -0091; 91 FR 46593–46594; note App. E ('Draft note, how commenters read the provider tax rule's figures')</t>
        </is>
      </c>
      <c r="G198" s="12" t="inlineStr">
        <is>
          <t>Note App. E</t>
        </is>
      </c>
      <c r="H198" s="12" t="inlineStr">
        <is>
          <t>How commenters read CMS's interaction-inclusive figures</t>
        </is>
      </c>
      <c r="I198" s="12" t="inlineStr">
        <is>
          <t>provider tax rule docket</t>
        </is>
      </c>
      <c r="J198" s="12" t="inlineStr">
        <is>
          <t>snapshot October 7, 2026</t>
        </is>
      </c>
      <c r="K198" s="12" t="inlineStr">
        <is>
          <t>real 2026 dollars</t>
        </is>
      </c>
      <c r="L198" s="12" t="inlineStr">
        <is>
          <t>central; high-savings</t>
        </is>
      </c>
      <c r="M198" s="12" t="inlineStr">
        <is>
          <t>CMS's figures are confirmed (verification summary, F-010: $90.9B at 91 FR 46593, −$136.1B at 46594). The commenters' letters were not re-read; the last two readings are the note's [I] interpretation ('appears to').</t>
        </is>
      </c>
      <c r="N198" s="12" t="inlineStr">
        <is>
          <t>single-source — CMS figures confirmed (F-010); the commenters' letters were not re-read — NEEDS VERIFICATION [DL4] Comment IDs on the 'citation to add after verification' list (change map, v2 list item 7: F-010, F-017).</t>
        </is>
      </c>
    </row>
    <row r="199" ht="95.25" customHeight="1" s="10">
      <c r="A199" s="12" t="inlineStr">
        <is>
          <t>4. Third-party figures</t>
        </is>
      </c>
      <c r="B199" s="13" t="inlineStr">
        <is>
          <t>TP-35</t>
        </is>
      </c>
      <c r="C199" s="12" t="inlineStr">
        <is>
          <t>Virginia's Medicaid agency urged CMS not to default payment limits to state plan rates for services without a Medicare equivalent</t>
        </is>
      </c>
      <c r="D199" s="12" t="inlineStr">
        <is>
          <t>third-party position [E]</t>
        </is>
      </c>
      <c r="E199" s="12" t="inlineStr">
        <is>
          <t>Virginia Department of Medical Assistance Services (state Medicaid agency), comment on CMS-2449-P</t>
        </is>
      </c>
      <c r="F199" s="12" t="inlineStr">
        <is>
          <t>Comment CMS-2026-1916-0755, p. 3; note sec. 8</t>
        </is>
      </c>
      <c r="G199" s="12" t="inlineStr">
        <is>
          <t>Note sec. 8</t>
        </is>
      </c>
      <c r="H199" s="12" t="inlineStr">
        <is>
          <t>A state agency's request on the cap default</t>
        </is>
      </c>
      <c r="I199" s="12" t="inlineStr">
        <is>
          <t>one state</t>
        </is>
      </c>
      <c r="J199" s="12" t="inlineStr">
        <is>
          <t>comment period closed July 21, 2026</t>
        </is>
      </c>
      <c r="K199" s="12" t="inlineStr">
        <is>
          <t>n/a</t>
        </is>
      </c>
      <c r="L199" s="12" t="inlineStr">
        <is>
          <t>not scenario-dependent</t>
        </is>
      </c>
      <c r="M199" s="12" t="inlineStr">
        <is>
          <t>Located by the comment analyst (F-026); not re-read in the verification files. Round 3 item 5 could not confirm that Ohio's Medicaid agency (comment 1916-0209) makes the same argument (its comment centres on crisis-service reconciliation), so v17 names Virginia alone.</t>
        </is>
      </c>
      <c r="N199" s="12" t="inlineStr">
        <is>
          <t>single-source — comment analyst's finding; letter not re-read — NEEDS VERIFICATION [DL4] Comment CMS-2026-1916-0755, p. 3 is on the 'citation to add after verification' list (change map, v2 list item 7: F-026).</t>
        </is>
      </c>
    </row>
    <row r="200" ht="95.25" customHeight="1" s="10">
      <c r="A200" s="12" t="inlineStr">
        <is>
          <t>4. Third-party figures</t>
        </is>
      </c>
      <c r="B200" s="13" t="inlineStr">
        <is>
          <t>TP-36</t>
        </is>
      </c>
      <c r="C200" s="12" t="inlineStr">
        <is>
          <t>A group supporting the provider tax rule likewise carries ASPE's statute-level estimates into that rule's record</t>
        </is>
      </c>
      <c r="D200" s="12" t="inlineStr">
        <is>
          <t>third-party position [E]</t>
        </is>
      </c>
      <c r="E200" s="12" t="inlineStr">
        <is>
          <t>Comment on CMS-2452-P</t>
        </is>
      </c>
      <c r="F200" s="12" t="inlineStr">
        <is>
          <t>Comment CMS-2026-2476-0130, p. 2; note App. F ('Draft note, how commenters cite CBO')</t>
        </is>
      </c>
      <c r="G200" s="12" t="inlineStr">
        <is>
          <t>Note App. F</t>
        </is>
      </c>
      <c r="H200" s="12" t="inlineStr">
        <is>
          <t>A commenter's use of ASPE's estimates</t>
        </is>
      </c>
      <c r="I200" s="12" t="inlineStr">
        <is>
          <t>provider tax rule docket</t>
        </is>
      </c>
      <c r="J200" s="12" t="inlineStr">
        <is>
          <t>snapshot October 7, 2026</t>
        </is>
      </c>
      <c r="K200" s="12" t="inlineStr">
        <is>
          <t>not stated</t>
        </is>
      </c>
      <c r="L200" s="12" t="inlineStr">
        <is>
          <t>not scenario-dependent</t>
        </is>
      </c>
      <c r="M200" s="12" t="inlineStr">
        <is>
          <t>Located by the comment analyst (F-021); not re-read in the verification files. ASPE's estimates are at TP-10 to TP-14.</t>
        </is>
      </c>
      <c r="N200" s="12" t="inlineStr">
        <is>
          <t>single-source — comment analyst's finding; letter not re-read — NEEDS VERIFICATION [DL4] Comment CMS-2026-2476-0130, p. 2 is on the 'citation to add after verification' list (change map, v2 list item 7: F-021).</t>
        </is>
      </c>
    </row>
    <row r="201" ht="84.75" customHeight="1" s="10">
      <c r="A201" s="12" t="inlineStr">
        <is>
          <t>4. Third-party figures</t>
        </is>
      </c>
      <c r="B201" s="13" t="inlineStr">
        <is>
          <t>TP-37</t>
        </is>
      </c>
      <c r="C201" s="12" t="inlineStr">
        <is>
          <t>The American Hospital Association, South Carolina's Medicaid agency and several template letters, like the Federation of American Hospitals (TP-21), asked CMS to count the provider taxes that partly fund SDPs when it calculates the rate tested against the cap (about 11 comments, about 8 distinct texts, in both docket views, keyword count)</t>
        </is>
      </c>
      <c r="D201" s="12" t="inlineStr">
        <is>
          <t>third-party position [E]</t>
        </is>
      </c>
      <c r="E201" s="12" t="inlineStr">
        <is>
          <t>Comments on CMS-2449-P</t>
        </is>
      </c>
      <c r="F201" s="12" t="inlineStr">
        <is>
          <t>Comments CMS-2026-1916-0928, p. 11; -0923, p. 3; templates including -0369, -0476, -0808, -0437, -0424 and -0787; note App. F ('Draft note, who nets provider taxes')</t>
        </is>
      </c>
      <c r="G201" s="12" t="inlineStr">
        <is>
          <t>Note App. F</t>
        </is>
      </c>
      <c r="H201" s="12" t="inlineStr">
        <is>
          <t>Commenters asking for tax-netted cap-test rates</t>
        </is>
      </c>
      <c r="I201" s="12" t="inlineStr">
        <is>
          <t>SDP rule docket</t>
        </is>
      </c>
      <c r="J201" s="12" t="inlineStr">
        <is>
          <t>snapshot October 7, 2026</t>
        </is>
      </c>
      <c r="K201" s="12" t="inlineStr">
        <is>
          <t>n/a</t>
        </is>
      </c>
      <c r="L201" s="12" t="inlineStr">
        <is>
          <t>not scenario-dependent</t>
        </is>
      </c>
      <c r="M201" s="12" t="inlineStr">
        <is>
          <t>Located by the comment analyst (F-018); keyword counts are approximate by the note's own statement. Not re-read in the verification files.</t>
        </is>
      </c>
      <c r="N201" s="12" t="inlineStr">
        <is>
          <t>single-source — comment analyst's findings; approximate keyword count — NEEDS VERIFICATION [DL4] Comment IDs on the 'citation to add after verification' list (change map, v2 list item 7: F-018).</t>
        </is>
      </c>
    </row>
    <row r="202" ht="84.75" customHeight="1" s="10">
      <c r="A202" s="12" t="inlineStr">
        <is>
          <t>4. Third-party figures</t>
        </is>
      </c>
      <c r="B202" s="13" t="inlineStr">
        <is>
          <t>TP-38</t>
        </is>
      </c>
      <c r="C202" s="12" t="inlineStr">
        <is>
          <t>The cap test compares an SDP's total payment rate, base payment plus SDP, with the Medicare-based cap (sec. 7, step 1); netting provider taxes there changes the rate tested, not the net provider loss this note computes. CMS's provider tax rule nets tax relief against payment cuts</t>
        </is>
      </c>
      <c r="D202" s="12" t="inlineStr">
        <is>
          <t>derived arithmetic - interpretive [I]/[E]</t>
        </is>
      </c>
      <c r="E202" s="12" t="inlineStr">
        <is>
          <t>[FIRM]; CMS-2452-P</t>
        </is>
      </c>
      <c r="F202" s="12" t="inlineStr">
        <is>
          <t>Note App. F ('Draft note, who nets provider taxes'); sec. 7 step 1; CE-36</t>
        </is>
      </c>
      <c r="G202" s="12" t="inlineStr">
        <is>
          <t>Note App. F</t>
        </is>
      </c>
      <c r="H202" s="12" t="inlineStr">
        <is>
          <t>Two different uses of 'net of provider taxes'</t>
        </is>
      </c>
      <c r="I202" s="12" t="inlineStr">
        <is>
          <t>SDP rate test; provider aggregate</t>
        </is>
      </c>
      <c r="J202" s="12" t="inlineStr">
        <is>
          <t>n/a</t>
        </is>
      </c>
      <c r="K202" s="12" t="inlineStr">
        <is>
          <t>n/a</t>
        </is>
      </c>
      <c r="L202" s="12" t="inlineStr">
        <is>
          <t>not scenario-dependent</t>
        </is>
      </c>
      <c r="M202" s="12" t="inlineStr">
        <is>
          <t>The CMS limb is the net construction of Table 12 (CE-36). The distinction is v17's [I] reading; it keeps TP-21 and TP-37 from being read as support for a net-of-tax provider loss. Related: TP-17 (Texas Hospital Association paired figures).</t>
        </is>
      </c>
      <c r="N202" s="12" t="inlineStr">
        <is>
          <t>verified as inference — NEEDS VERIFICATION [DL3] The Texas Hospital Association's paired gross and net figures (2025), which this note cites alongside CMS's netting (App. F), are on the decision-log re-check list.</t>
        </is>
      </c>
    </row>
    <row r="203" ht="53.25" customHeight="1" s="10">
      <c r="A203" s="12" t="inlineStr">
        <is>
          <t>4. Third-party figures</t>
        </is>
      </c>
      <c r="B203" s="13" t="inlineStr">
        <is>
          <t>TP-39</t>
        </is>
      </c>
      <c r="C203" s="12" t="inlineStr">
        <is>
          <t>CMS's questions on Texas's state fiscal year 2027 CHIRP preprint, sent September 3, 2026, list two financing issues to be resolved before approval: multi-jurisdictional provider participation districts, and an assessment base combining inpatient and outpatient revenue</t>
        </is>
      </c>
      <c r="D203" s="12" t="inlineStr">
        <is>
          <t>contextual [E]</t>
        </is>
      </c>
      <c r="E203" s="12" t="inlineStr">
        <is>
          <t>Texas Health and Human Services Commission, CHIRP preprint questions (Round 4)</t>
        </is>
      </c>
      <c r="F203" s="12" t="inlineStr">
        <is>
          <t>Texas HHSC, Round 4, p. 17 of 19 (same text on pp. 14 and 16); note App. I ('Draft note, a state preprint')</t>
        </is>
      </c>
      <c r="G203" s="12" t="inlineStr">
        <is>
          <t>Note App. I</t>
        </is>
      </c>
      <c r="H203" s="12" t="inlineStr">
        <is>
          <t>What CMS asked a state to resolve before approving an SDP preprint</t>
        </is>
      </c>
      <c r="I203" s="12" t="inlineStr">
        <is>
          <t>one state</t>
        </is>
      </c>
      <c r="J203" s="12" t="inlineStr">
        <is>
          <t>September 3, 2026</t>
        </is>
      </c>
      <c r="K203" s="12" t="inlineStr">
        <is>
          <t>n/a</t>
        </is>
      </c>
      <c r="L203" s="12" t="inlineStr">
        <is>
          <t>not scenario-dependent</t>
        </is>
      </c>
      <c r="M203" s="12" t="inlineStr">
        <is>
          <t>Verification summary (F-024): Texas HHSC PDF read, 19 pages; CMS lists two issues that must be resolved before approval; 'withhold' is Texas's own word (p. 18) and is not used. Distinct from RM-25's reference case (the state is not named there).</t>
        </is>
      </c>
      <c r="N203" s="12" t="inlineStr">
        <is>
          <t>verified — F-024 (Texas HHSC document)</t>
        </is>
      </c>
    </row>
    <row r="204" ht="95.25" customHeight="1" s="10">
      <c r="A204" s="12" t="inlineStr">
        <is>
          <t>4. Third-party figures</t>
        </is>
      </c>
      <c r="B204" s="13" t="inlineStr">
        <is>
          <t>TP-40</t>
        </is>
      </c>
      <c r="C204" s="12" t="inlineStr">
        <is>
          <t>Comments in both dockets set out arguments a legal challenge could use, citing Loper Bright in about 40 comments (about 20 distinct texts) on the SDP rule and about 11 (about 8 distinct texts) on the provider tax rule, in both docket views (keyword counts; for example, comment CMS-2026-1916-0407, p. 1)</t>
        </is>
      </c>
      <c r="D204" s="12" t="inlineStr">
        <is>
          <t>third-party position [E]</t>
        </is>
      </c>
      <c r="E204" s="12" t="inlineStr">
        <is>
          <t>Comments on CMS-2449-P and CMS-2452-P</t>
        </is>
      </c>
      <c r="F204" s="12" t="inlineStr">
        <is>
          <t>Comment CMS-2026-1916-0407, p. 1; note App. I ('Draft note, the legal record')</t>
        </is>
      </c>
      <c r="G204" s="12" t="inlineStr">
        <is>
          <t>Note App. I</t>
        </is>
      </c>
      <c r="H204" s="12" t="inlineStr">
        <is>
          <t>Keyword counts of comments citing Loper Bright</t>
        </is>
      </c>
      <c r="I204" s="12" t="inlineStr">
        <is>
          <t>two dockets</t>
        </is>
      </c>
      <c r="J204" s="12" t="inlineStr">
        <is>
          <t>snapshot October 7, 2026</t>
        </is>
      </c>
      <c r="K204" s="12" t="inlineStr">
        <is>
          <t>n/a</t>
        </is>
      </c>
      <c r="L204" s="12" t="inlineStr">
        <is>
          <t>not scenario-dependent</t>
        </is>
      </c>
      <c r="M204" s="12" t="inlineStr">
        <is>
          <t>Located by the comment analyst (F-028); keyword counts are approximate. Not re-read in the verification files. The related negative (no comment reports a filed suit) is at NC-20.</t>
        </is>
      </c>
      <c r="N204" s="12" t="inlineStr">
        <is>
          <t>single-source — comment analyst's keyword counts; approximate — NEEDS VERIFICATION [DL4] Comment CMS-2026-1916-0407, p. 1 is on the 'citation to add after verification' list (change map, v2 list item 7: F-028).</t>
        </is>
      </c>
    </row>
    <row r="205" ht="95.25" customHeight="1" s="10">
      <c r="A205" s="12" t="inlineStr">
        <is>
          <t>5. State exposure</t>
        </is>
      </c>
      <c r="B205" s="13" t="inlineStr">
        <is>
          <t>SE-01</t>
        </is>
      </c>
      <c r="C205" s="12" t="inlineStr">
        <is>
          <t>KFF identifies 37 states, including DC, with hospital SDPs likely to exceed the new caps</t>
        </is>
      </c>
      <c r="D205" s="12" t="inlineStr">
        <is>
          <t>third-party estimate [E]</t>
        </is>
      </c>
      <c r="E205" s="12" t="inlineStr">
        <is>
          <t>KFF</t>
        </is>
      </c>
      <c r="F205" s="12" t="inlineStr">
        <is>
          <t>Issue brief, Aug 14, 2026; note sec. 6 (first bullet)</t>
        </is>
      </c>
      <c r="G205" s="12" t="inlineStr">
        <is>
          <t>Note sec. 6. KFF: "At least 37 states have Medicaid state directed payments for hospital services that could be reduced by the 2025 reconciliation law limits"</t>
        </is>
      </c>
      <c r="H205" s="12" t="inlineStr">
        <is>
          <t>Count of states with affected hospital SDPs</t>
        </is>
      </c>
      <c r="I205" s="12" t="inlineStr">
        <is>
          <t>state count</t>
        </is>
      </c>
      <c r="J205" s="12" t="inlineStr">
        <is>
          <t>as of Aug 2026</t>
        </is>
      </c>
      <c r="K205" s="12" t="inlineStr">
        <is>
          <t>n/a</t>
        </is>
      </c>
      <c r="L205" s="12" t="inlineStr">
        <is>
          <t>not scenario-dependent</t>
        </is>
      </c>
      <c r="M205" s="12" t="inlineStr">
        <is>
          <t>C4: 51 jurisdictions less the 14 with no hospital SDPs = 37 exactly UPDATED October 11, 2026: v17 words the count as 37 states 'including DC' that 'likely exceed the new caps' and tags it [E]. KFF's own wording is 'at least 37 states' with SDPs that 'could be reduced'; the note's 'likely exceed' is a paraphrase. The 51 less 14 arithmetic is unchanged. The KFF brief was not re-read this cycle (kff.org was unreachable in the verification files). Previous wording: 'KFF identifies 37 states with hospital SDPs likely affected by the new limits'</t>
        </is>
      </c>
      <c r="N205" s="12" t="inlineStr">
        <is>
          <t>verified — NEEDS VERIFICATION [DL3] KFF, August 14, 2026 (state file, expansion tracker, $155 billion) is on the decision-log re-check list (secs. 5–6; App. H); this row rests on it.</t>
        </is>
      </c>
    </row>
    <row r="206" ht="137.25" customHeight="1" s="10">
      <c r="A206" s="12" t="inlineStr">
        <is>
          <t>5. State exposure</t>
        </is>
      </c>
      <c r="B206" s="13" t="inlineStr">
        <is>
          <t>SE-02</t>
        </is>
      </c>
      <c r="C206" s="12" t="inlineStr">
        <is>
          <t>About $60 billion of one year's federal hospital SDP spending is above the caps, excluding Minnesota and Missouri (no estimate), out of about $78 billion in federal hospital SDP spending and about $93 billion in all federal SDP spending</t>
        </is>
      </c>
      <c r="D206" s="12" t="inlineStr">
        <is>
          <t>third-party estimate [E]</t>
        </is>
      </c>
      <c r="E206" s="12" t="inlineStr">
        <is>
          <t>KFF</t>
        </is>
      </c>
      <c r="F206" s="12" t="inlineStr">
        <is>
          <t>Issue brief, Aug 14, 2026; note sec. 6 (second bullet)</t>
        </is>
      </c>
      <c r="G206" s="12" t="inlineStr">
        <is>
          <t>Note sec. 6</t>
        </is>
      </c>
      <c r="H206" s="12" t="inlineStr">
        <is>
          <t>Federal spending above the statutory limits</t>
        </is>
      </c>
      <c r="I206" s="12" t="inlineStr">
        <is>
          <t>federal only, hospital only; Minnesota and Missouri excluded (no estimate)</t>
        </is>
      </c>
      <c r="J206" s="12" t="inlineStr">
        <is>
          <t>one year, FFY2025 basis</t>
        </is>
      </c>
      <c r="K206" s="12" t="inlineStr">
        <is>
          <t>nominal (unstated)</t>
        </is>
      </c>
      <c r="L206" s="12" t="inlineStr">
        <is>
          <t>not scenario-dependent</t>
        </is>
      </c>
      <c r="M206" s="12" t="inlineStr">
        <is>
          <t>Internal: the note's own group dollar column sums to $60.1B. V1 output independently confirms the $78.0B denominator UPDATED October 11, 2026: v17 splits the KFF bullet in two, states that the $60 billion excludes Minnesota and Missouri, says 'one year's' spending and restores 'about $93 billion' in all federal SDP spending (change map S6.1; decision log, 'Numbers vs ledger'). The Group A-D dollar column in the v17 table is the same $60.1 billion by construction (SE-05 to SE-08). The brief was not re-read this cycle. Previous wording: 'Approximately $60B in federal hospital SDP spending sits above the new limits, out of roughly $78B federal hospital SDP spending, within roughly $93B total federal SDP spending'</t>
        </is>
      </c>
      <c r="N206" s="12" t="inlineStr">
        <is>
          <t>verified — NEEDS VERIFICATION [DL3] KFF, August 14, 2026 (state file, expansion tracker, $155 billion) is on the decision-log re-check list (secs. 5–6; App. H); this row rests on it.</t>
        </is>
      </c>
    </row>
    <row r="207" ht="84.75" customHeight="1" s="10">
      <c r="A207" s="12" t="inlineStr">
        <is>
          <t>5. State exposure</t>
        </is>
      </c>
      <c r="B207" s="13" t="inlineStr">
        <is>
          <t>SE-03</t>
        </is>
      </c>
      <c r="C207" s="12" t="inlineStr">
        <is>
          <t>The share above limits ranges from 9% in New Hampshire to 100% in Louisiana and DC, with 27 states at 70% or above</t>
        </is>
      </c>
      <c r="D207" s="12" t="inlineStr">
        <is>
          <t>third-party estimate [E]</t>
        </is>
      </c>
      <c r="E207" s="12" t="inlineStr">
        <is>
          <t>KFF</t>
        </is>
      </c>
      <c r="F207" s="12" t="inlineStr">
        <is>
          <t>Issue brief, Aug 14, 2026; note App. H ('Draft note, share above the caps')</t>
        </is>
      </c>
      <c r="G207" s="12" t="inlineStr">
        <is>
          <t>Note App. H</t>
        </is>
      </c>
      <c r="H207" s="12" t="inlineStr">
        <is>
          <t>Share of federal hospital SDP spending above the limits</t>
        </is>
      </c>
      <c r="I207" s="12" t="inlineStr">
        <is>
          <t>hospital only</t>
        </is>
      </c>
      <c r="J207" s="12" t="inlineStr">
        <is>
          <t>FFY2025</t>
        </is>
      </c>
      <c r="K207" s="12" t="inlineStr">
        <is>
          <t>share, not dollars</t>
        </is>
      </c>
      <c r="L207" s="12" t="inlineStr">
        <is>
          <t>not scenario-dependent</t>
        </is>
      </c>
      <c r="M207" s="12" t="inlineStr">
        <is>
          <t>C4: NH 0.0910; DC 1.0000; LA 0.9995. Count of shares at or above 0.70 = 27 exactly UPDATED October 11, 2026: v17 moves this bullet from sec. 6 to App. H (change map U31, U49) and words it 'at least 70 percent in 27 states'. The 9 percent (New Hampshire) and 100 percent (Louisiana and DC) endpoints are unchanged. C4 re-derivation stands.</t>
        </is>
      </c>
      <c r="N207" s="12" t="inlineStr">
        <is>
          <t>verified — NEEDS VERIFICATION [DL3] KFF, August 14, 2026 (state file, expansion tracker, $155 billion) is on the decision-log re-check list (secs. 5–6; App. H); this row rests on it.</t>
        </is>
      </c>
    </row>
    <row r="208" ht="95.25" customHeight="1" s="10">
      <c r="A208" s="12" t="inlineStr">
        <is>
          <t>5. State exposure</t>
        </is>
      </c>
      <c r="B208" s="13" t="inlineStr">
        <is>
          <t>SE-04</t>
        </is>
      </c>
      <c r="C208" s="12" t="inlineStr">
        <is>
          <t>31 expansion states have at least one non-exempt tax above 3.5%: 28 with a hospital tax, 10 ambulance, 6 MCO</t>
        </is>
      </c>
      <c r="D208" s="12" t="inlineStr">
        <is>
          <t>third-party estimate [E]</t>
        </is>
      </c>
      <c r="E208" s="12" t="inlineStr">
        <is>
          <t>KFF provider tax file</t>
        </is>
      </c>
      <c r="F208" s="12" t="inlineStr">
        <is>
          <t>KFF provider tax file, Aug 2026; note sec. 6 (third bullet)</t>
        </is>
      </c>
      <c r="G208" s="12" t="inlineStr">
        <is>
          <t>Note sec. 6</t>
        </is>
      </c>
      <c r="H208" s="12" t="inlineStr">
        <is>
          <t>Count of states by taxed class</t>
        </is>
      </c>
      <c r="I208" s="12" t="inlineStr">
        <is>
          <t>expansion states only</t>
        </is>
      </c>
      <c r="J208" s="12" t="inlineStr">
        <is>
          <t>2026</t>
        </is>
      </c>
      <c r="K208" s="12" t="inlineStr">
        <is>
          <t>n/a</t>
        </is>
      </c>
      <c r="L208" s="12" t="inlineStr">
        <is>
          <t>not scenario-dependent</t>
        </is>
      </c>
      <c r="M208" s="12" t="inlineStr">
        <is>
          <t>C4: exactly 28 expansion states carry hospital_tax_above_3_5 = Yes. The ambulance and MCO counts are not checkable from the available outputs UPDATED October 11, 2026: v17 words the claim '31 expansion states have a non-exempt provider tax above 3.5 percent: 28 with hospital taxes, 10 with ambulance taxes and 6 with managed care organization taxes' and moves it to sec. 6. Counts unchanged. The 'non-exempt' qualifier corresponds to the statutory exemption for nursing facility and ICF/IID taxes (RM-29).</t>
        </is>
      </c>
      <c r="N208" s="12" t="inlineStr">
        <is>
          <t>verified with caveat — NEEDS VERIFICATION [DL3] KFF, August 14, 2026 (state file, expansion tracker, $155 billion) is on the decision-log re-check list (secs. 5–6; App. H); this row rests on it.</t>
        </is>
      </c>
    </row>
    <row r="209" ht="137.25" customHeight="1" s="10">
      <c r="A209" s="12" t="inlineStr">
        <is>
          <t>5. State exposure</t>
        </is>
      </c>
      <c r="B209" s="13" t="inlineStr">
        <is>
          <t>SE-05</t>
        </is>
      </c>
      <c r="C209" s="12" t="inlineStr">
        <is>
          <t>Group A: 24 expansion states with hospital SDPs above the caps and a hospital tax above 3.5%; about $45.4B of federal hospital SDPs above the caps in one year; reached by the 100% cap and grandfathered phase-down and by the provider tax freeze and lower threshold</t>
        </is>
      </c>
      <c r="D209" s="12" t="inlineStr">
        <is>
          <t>state classification [I]</t>
        </is>
      </c>
      <c r="E209" s="12" t="inlineStr">
        <is>
          <t>[FIRM] construction from KFF</t>
        </is>
      </c>
      <c r="F209" s="12" t="inlineStr">
        <is>
          <t>Note sec. 6 (group table and source line)</t>
        </is>
      </c>
      <c r="G209" s="12" t="inlineStr">
        <is>
          <t>Note sec. 6, group table</t>
        </is>
      </c>
      <c r="H209" s="12" t="inlineStr">
        <is>
          <t>Which mechanisms reach the state</t>
        </is>
      </c>
      <c r="I209" s="12" t="inlineStr">
        <is>
          <t>federal only, hospital only</t>
        </is>
      </c>
      <c r="J209" s="12" t="inlineStr">
        <is>
          <t>FFY2025 basis</t>
        </is>
      </c>
      <c r="K209" s="12" t="inlineStr">
        <is>
          <t>nominal</t>
        </is>
      </c>
      <c r="L209" s="12" t="inlineStr">
        <is>
          <t>not scenario-dependent</t>
        </is>
      </c>
      <c r="M209" s="12" t="inlineStr">
        <is>
          <t>C4: 28 expansion states with a hospital tax, less CO, CT, IN and VT which have no hospital SDPs, = 24 exactly UPDATED October 11, 2026: v17 has no footnote 5; the table's source line says 'THEIA Services' grouping from KFF's August 2026 state file and Medicaid expansion tracker; KFF does not use these groups. The dollar column sums KFF's estimates for each group.' The group is labelled 'Both rules' and the table adds a column on which parts of the two rules reach the group. Minnesota and Missouri belong in Group A but have no KFF estimate (SE-14), so the $45.4B excludes them. The 28 less 4 arithmetic is unchanged. Previous wording: 'Group A: 24 expansion states with affected hospital SDPs and a hospital tax above 3.5%; approximately $45.4B above limits'</t>
        </is>
      </c>
      <c r="N209" s="12" t="inlineStr">
        <is>
          <t>verified — NEEDS VERIFICATION [DL3] KFF, August 14, 2026 (state file, expansion tracker, $155 billion) is on the decision-log re-check list (secs. 5–6; App. H); this row rests on it.</t>
        </is>
      </c>
    </row>
    <row r="210" ht="84.75" customHeight="1" s="10">
      <c r="A210" s="12" t="inlineStr">
        <is>
          <t>5. State exposure</t>
        </is>
      </c>
      <c r="B210" s="13" t="inlineStr">
        <is>
          <t>SE-06</t>
        </is>
      </c>
      <c r="C210" s="12" t="inlineStr">
        <is>
          <t>Group B: Washington and West Virginia; about $2.0B; the 100% cap and phase-down apply, and the lower threshold reaches ambulance or other taxes, not hospital taxes</t>
        </is>
      </c>
      <c r="D210" s="12" t="inlineStr">
        <is>
          <t>state classification [I]</t>
        </is>
      </c>
      <c r="E210" s="12" t="inlineStr">
        <is>
          <t>[FIRM] from KFF</t>
        </is>
      </c>
      <c r="F210" s="12" t="inlineStr">
        <is>
          <t>Note sec. 6 (group table)</t>
        </is>
      </c>
      <c r="G210" s="12" t="inlineStr">
        <is>
          <t>Note sec. 6, group table</t>
        </is>
      </c>
      <c r="H210" s="12" t="inlineStr">
        <is>
          <t>SDP cap plus a lower threshold on non-hospital taxes</t>
        </is>
      </c>
      <c r="I210" s="12" t="inlineStr">
        <is>
          <t>federal, hospital only</t>
        </is>
      </c>
      <c r="J210" s="12" t="inlineStr">
        <is>
          <t>FFY2025</t>
        </is>
      </c>
      <c r="K210" s="12" t="inlineStr">
        <is>
          <t>nominal</t>
        </is>
      </c>
      <c r="L210" s="12" t="inlineStr">
        <is>
          <t>not scenario-dependent</t>
        </is>
      </c>
      <c r="M210" s="12" t="inlineStr">
        <is>
          <t>C4: both expansion, both hospital tax No, both with measured shares (0.7209 and 0.5801) UPDATED October 11, 2026: v17 labels the group 'Cap plus lower threshold on non-hospital taxes' and says the lower threshold reaches ambulance or other taxes, not hospital taxes. The earlier ledger wording 'SDP cap plus a non-hospital tax class' is the same content. Previous wording: 'Group B: Washington and West Virginia; approximately $2.0B'</t>
        </is>
      </c>
      <c r="N210" s="12" t="inlineStr">
        <is>
          <t>verified — NEEDS VERIFICATION [DL3] KFF, August 14, 2026 (state file, expansion tracker, $155 billion) is on the decision-log re-check list (secs. 5–6; App. H); this row rests on it.</t>
        </is>
      </c>
    </row>
    <row r="211" ht="84.75" customHeight="1" s="10">
      <c r="A211" s="12" t="inlineStr">
        <is>
          <t>5. State exposure</t>
        </is>
      </c>
      <c r="B211" s="13" t="inlineStr">
        <is>
          <t>SE-07</t>
        </is>
      </c>
      <c r="C211" s="12" t="inlineStr">
        <is>
          <t>Group C: DC, Delaware and Hawaii; about $0.8B; the 100% cap and phase-down apply; no tax above 3.5% identified other than nursing or intermediate care facility taxes</t>
        </is>
      </c>
      <c r="D211" s="12" t="inlineStr">
        <is>
          <t>state classification [I]</t>
        </is>
      </c>
      <c r="E211" s="12" t="inlineStr">
        <is>
          <t>[FIRM] from KFF</t>
        </is>
      </c>
      <c r="F211" s="12" t="inlineStr">
        <is>
          <t>Note sec. 6 (group table)</t>
        </is>
      </c>
      <c r="G211" s="12" t="inlineStr">
        <is>
          <t>Note sec. 6, group table</t>
        </is>
      </c>
      <c r="H211" s="12" t="inlineStr">
        <is>
          <t>SDP cap only; no non-exempt tax above 3.5% identified</t>
        </is>
      </c>
      <c r="I211" s="12" t="inlineStr">
        <is>
          <t>federal, hospital only</t>
        </is>
      </c>
      <c r="J211" s="12" t="inlineStr">
        <is>
          <t>FFY2025</t>
        </is>
      </c>
      <c r="K211" s="12" t="inlineStr">
        <is>
          <t>nominal</t>
        </is>
      </c>
      <c r="L211" s="12" t="inlineStr">
        <is>
          <t>not scenario-dependent</t>
        </is>
      </c>
      <c r="M211" s="12" t="inlineStr">
        <is>
          <t>C4: all three expansion, hospital tax No, shares 1.0000 / 0.9649 / 0.8042 UPDATED October 11, 2026: v17 adds the qualifier 'other than nursing or intermediate care facility taxes', which are exempt from the lower threshold (RM-29). C4 shares are unchanged. The qualifier is not checkable from the C4 outputs. Previous wording: 'Group C: DC, Delaware and Hawaii; approximately $0.8B'</t>
        </is>
      </c>
      <c r="N211" s="12" t="inlineStr">
        <is>
          <t>verified — NEEDS VERIFICATION [DL3] KFF, August 14, 2026 (state file, expansion tracker, $155 billion) is on the decision-log re-check list (secs. 5–6; App. H); this row rests on it.</t>
        </is>
      </c>
    </row>
    <row r="212" ht="95.25" customHeight="1" s="10">
      <c r="A212" s="12" t="inlineStr">
        <is>
          <t>5. State exposure</t>
        </is>
      </c>
      <c r="B212" s="13" t="inlineStr">
        <is>
          <t>SE-08</t>
        </is>
      </c>
      <c r="C212" s="12" t="inlineStr">
        <is>
          <t>Group D: 8 non-expansion states with SDPs above the caps (FL, GA, KS, MS, SC, TN, TX, WI); about $11.9B; reached by the 110% cap, the phase-down and the provider tax freeze, not the lower threshold</t>
        </is>
      </c>
      <c r="D212" s="12" t="inlineStr">
        <is>
          <t>state classification [I]</t>
        </is>
      </c>
      <c r="E212" s="12" t="inlineStr">
        <is>
          <t>[FIRM] from KFF</t>
        </is>
      </c>
      <c r="F212" s="12" t="inlineStr">
        <is>
          <t>Note sec. 6 (group table)</t>
        </is>
      </c>
      <c r="G212" s="12" t="inlineStr">
        <is>
          <t>Note sec. 6, group table</t>
        </is>
      </c>
      <c r="H212" s="12" t="inlineStr">
        <is>
          <t>110% cap, phase-down and freeze reach them; the lower threshold does not</t>
        </is>
      </c>
      <c r="I212" s="12" t="inlineStr">
        <is>
          <t>federal, hospital only</t>
        </is>
      </c>
      <c r="J212" s="12" t="inlineStr">
        <is>
          <t>FFY2025</t>
        </is>
      </c>
      <c r="K212" s="12" t="inlineStr">
        <is>
          <t>nominal</t>
        </is>
      </c>
      <c r="L212" s="12" t="inlineStr">
        <is>
          <t>not scenario-dependent</t>
        </is>
      </c>
      <c r="M212" s="12" t="inlineStr">
        <is>
          <t>C4: 10 non-expansion states less Alabama and Wyoming, both determined-zero on SDPs, = 8 exactly UPDATED October 11, 2026: v17 says the phase-down reaches Group D (RM-03: the phase-down applies in every state) and that the lower threshold does not (RM-08). The earlier measure line, 'threshold phase-down does not', used 'phase-down' for the tax threshold; see SE-18. Previous wording: 'Group D: 8 non-expansion states with affected SDPs (FL, GA, KS, MS, SC, TN, TX, WI); approximately $11.9B'</t>
        </is>
      </c>
      <c r="N212" s="12" t="inlineStr">
        <is>
          <t>verified — NEEDS VERIFICATION [DL3] KFF, August 14, 2026 (state file, expansion tracker, $155 billion) is on the decision-log re-check list (secs. 5–6; App. H); this row rests on it.</t>
        </is>
      </c>
    </row>
    <row r="213" ht="84.75" customHeight="1" s="10">
      <c r="A213" s="12" t="inlineStr">
        <is>
          <t>5. State exposure</t>
        </is>
      </c>
      <c r="B213" s="13" t="inlineStr">
        <is>
          <t>SE-09</t>
        </is>
      </c>
      <c r="C213" s="12" t="inlineStr">
        <is>
          <t>Group E: 14 states with no identified hospital SDPs above the caps; $0 of federal hospital SDPs above the caps; the provider tax freeze reaches them where a tax exists, and the lower threshold reaches Colorado, Connecticut, Indiana and Vermont</t>
        </is>
      </c>
      <c r="D213" s="12" t="inlineStr">
        <is>
          <t>state classification [I]</t>
        </is>
      </c>
      <c r="E213" s="12" t="inlineStr">
        <is>
          <t>[FIRM] from KFF</t>
        </is>
      </c>
      <c r="F213" s="12" t="inlineStr">
        <is>
          <t>Note sec. 6 (group table)</t>
        </is>
      </c>
      <c r="G213" s="12" t="inlineStr">
        <is>
          <t>Note sec. 6, group table</t>
        </is>
      </c>
      <c r="H213" s="12" t="inlineStr">
        <is>
          <t>Absence of one mechanism (SDP exposure), not of both</t>
        </is>
      </c>
      <c r="I213" s="12" t="inlineStr">
        <is>
          <t>state count</t>
        </is>
      </c>
      <c r="J213" s="12" t="inlineStr">
        <is>
          <t>FFY2025</t>
        </is>
      </c>
      <c r="K213" s="12" t="inlineStr">
        <is>
          <t>n/a</t>
        </is>
      </c>
      <c r="L213" s="12" t="inlineStr">
        <is>
          <t>not scenario-dependent</t>
        </is>
      </c>
      <c r="M213" s="12" t="inlineStr">
        <is>
          <t>C4: exactly 14 rows flagged "n/a (no SDPs)" or "n/a (no hospital SDPs)" — AL, AK, AR, CO, CT, ID, IN, ME, MD, MT, ND, SD, VT, WY. Groups A–E total 51, matching 50 states plus DC UPDATED October 11, 2026: v17 labels the group 'No identified hospital SDPs above the caps' and gives the dollar column as $0. The 14-state list and the 51-jurisdiction total are unchanged. Previous wording: 'Group E: 14 states with no identified hospital SDP exposure'</t>
        </is>
      </c>
      <c r="N213" s="12" t="inlineStr">
        <is>
          <t>verified — NEEDS VERIFICATION [DL3] KFF, August 14, 2026 (state file, expansion tracker, $155 billion) is on the decision-log re-check list (secs. 5–6; App. H); this row rests on it.</t>
        </is>
      </c>
    </row>
    <row r="214" ht="126.75" customHeight="1" s="10">
      <c r="A214" s="12" t="inlineStr">
        <is>
          <t>5. State exposure</t>
        </is>
      </c>
      <c r="B214" s="13" t="inlineStr">
        <is>
          <t>SE-10</t>
        </is>
      </c>
      <c r="C214" s="12" t="inlineStr">
        <is>
          <t>Group E is not exposure-free: the lower threshold reaches Colorado, Connecticut, Indiana and Vermont, whose hospital taxes exceed 3.5 percent</t>
        </is>
      </c>
      <c r="D214" s="12" t="inlineStr">
        <is>
          <t>state classification [I]</t>
        </is>
      </c>
      <c r="E214" s="12" t="inlineStr">
        <is>
          <t>KFF provider tax file</t>
        </is>
      </c>
      <c r="F214" s="12" t="inlineStr">
        <is>
          <t>Note sec. 6 (paragraph after the group table)</t>
        </is>
      </c>
      <c r="G214" s="12" t="inlineStr">
        <is>
          <t>Note sec. 6</t>
        </is>
      </c>
      <c r="H214" s="12" t="inlineStr">
        <is>
          <t>Mechanism reach despite the absence of an SDP</t>
        </is>
      </c>
      <c r="I214" s="12" t="inlineStr">
        <is>
          <t>expansion states</t>
        </is>
      </c>
      <c r="J214" s="12" t="inlineStr">
        <is>
          <t>prospective</t>
        </is>
      </c>
      <c r="K214" s="12" t="inlineStr">
        <is>
          <t>n/a</t>
        </is>
      </c>
      <c r="L214" s="12" t="inlineStr">
        <is>
          <t>not scenario-dependent</t>
        </is>
      </c>
      <c r="M214" s="12" t="inlineStr">
        <is>
          <t>C4: all four are expansion states with hospital_tax_above_3_5 = Yes and no hospital SDPs. This is the correction recorded at decision log B-8 UPDATED October 11, 2026: v17 replaces 'the phase-down reaches all four' with 'the lower threshold reaches' (the tax limit; 'phase-down' now means the SDP phase-down) and tags the sentence [I]. The same sentence adds that two Group E states carry KFF data-quality flags (SE-20). The reading rests on C4's hospital_tax_above_3_5 indicator. Previous wording: 'Group E is not a no-exposure group: Colorado, Connecticut, Indiana and Vermont are expansion states with a hospital tax above 3.5%, so the phase-down reaches all four'</t>
        </is>
      </c>
      <c r="N214" s="12" t="inlineStr">
        <is>
          <t>verified — NEEDS VERIFICATION [DL3] KFF, August 14, 2026 (state file, expansion tracker, $155 billion) is on the decision-log re-check list (secs. 5–6; App. H); this row rests on it.</t>
        </is>
      </c>
    </row>
    <row r="215" ht="105.75" customHeight="1" s="10">
      <c r="A215" s="12" t="inlineStr">
        <is>
          <t>5. State exposure</t>
        </is>
      </c>
      <c r="B215" s="13" t="inlineStr">
        <is>
          <t>SE-11</t>
        </is>
      </c>
      <c r="C215" s="12" t="inlineStr">
        <is>
          <t>KFF did not assess non-expansion states' provider taxes, which the lower threshold does not reach, and KFF's lack of an assessment is not evidence that no tax in those states exceeds 3.5 percent</t>
        </is>
      </c>
      <c r="D215" s="12" t="inlineStr">
        <is>
          <t>state classification [E]/[I]</t>
        </is>
      </c>
      <c r="E215" s="12" t="inlineStr">
        <is>
          <t>KFF methodology</t>
        </is>
      </c>
      <c r="F215" s="12" t="inlineStr">
        <is>
          <t>Note sec. 6 (Group D paragraph)</t>
        </is>
      </c>
      <c r="G215" s="12" t="inlineStr">
        <is>
          <t>Note sec. 6</t>
        </is>
      </c>
      <c r="H215" s="12" t="inlineStr">
        <is>
          <t>How a missing tax indicator should be read</t>
        </is>
      </c>
      <c r="I215" s="12" t="inlineStr">
        <is>
          <t>non-expansion states</t>
        </is>
      </c>
      <c r="J215" s="12" t="inlineStr">
        <is>
          <t>n/a</t>
        </is>
      </c>
      <c r="K215" s="12" t="inlineStr">
        <is>
          <t>n/a</t>
        </is>
      </c>
      <c r="L215" s="12" t="inlineStr">
        <is>
          <t>not scenario-dependent</t>
        </is>
      </c>
      <c r="M215" s="12" t="inlineStr">
        <is>
          <t>C4: every non-expansion row reads "N/A - not assessed (non-expansion state)" and carries an explicit note that the tier is not evidence of lower exposure UPDATED October 11, 2026: v17 tags the first limb [E] (KFF did not assess) and the second [I] ('not evidence'), and adds that the lower threshold does not reach non-expansion states. The earlier 'Group D's tax indicators read not assessed' wording is replaced by 'KFF did not assess'. Previous wording: 'Group D's tax indicators read "not assessed," which is an absence of assessment rather than evidence of an absence of taxes above the threshold'</t>
        </is>
      </c>
      <c r="N215" s="12" t="inlineStr">
        <is>
          <t>verified — NEEDS VERIFICATION [DL3] KFF, August 14, 2026 (state file, expansion tracker, $155 billion) is on the decision-log re-check list (secs. 5–6; App. H); this row rests on it.</t>
        </is>
      </c>
    </row>
    <row r="216" ht="84.75" customHeight="1" s="10">
      <c r="A216" s="12" t="inlineStr">
        <is>
          <t>5. State exposure</t>
        </is>
      </c>
      <c r="B216" s="13" t="inlineStr">
        <is>
          <t>SE-12</t>
        </is>
      </c>
      <c r="C216" s="12" t="inlineStr">
        <is>
          <t>Texas has $3.5 billion above the caps, and Tennessee, Georgia and South Carolina more than $1.6 billion each (KFF, August 2026)</t>
        </is>
      </c>
      <c r="D216" s="12" t="inlineStr">
        <is>
          <t>third-party estimate [E]</t>
        </is>
      </c>
      <c r="E216" s="12" t="inlineStr">
        <is>
          <t>KFF</t>
        </is>
      </c>
      <c r="F216" s="12" t="inlineStr">
        <is>
          <t>Issue brief, Aug 14, 2026; note App. H ('Draft note, Group D flags')</t>
        </is>
      </c>
      <c r="G216" s="12" t="inlineStr">
        <is>
          <t>Note App. H</t>
        </is>
      </c>
      <c r="H216" s="12" t="inlineStr">
        <is>
          <t>Dollars above limits</t>
        </is>
      </c>
      <c r="I216" s="12" t="inlineStr">
        <is>
          <t>federal, hospital only</t>
        </is>
      </c>
      <c r="J216" s="12" t="inlineStr">
        <is>
          <t>FFY2025</t>
        </is>
      </c>
      <c r="K216" s="12" t="inlineStr">
        <is>
          <t>nominal</t>
        </is>
      </c>
      <c r="L216" s="12" t="inlineStr">
        <is>
          <t>not scenario-dependent</t>
        </is>
      </c>
      <c r="M216" s="12" t="inlineStr">
        <is>
          <t>Not re-derivable: C4 carries shares, not dollars. The relative ordering is consistent with C4's shares (TX 0.7058, TN 0.7581, GA 0.7608, SC 0.9195) UPDATED October 11, 2026: v17 moves the state dollars from sec. 6 to App. H (change map U31) and words them 'more than $1.6 billion each' (previously 'above'). Still not re-derivable from C4, which carries shares. Previous wording: 'Group D contains Texas at $3.5B above limits, and Tennessee, Georgia and South Carolina above $1.6B each'</t>
        </is>
      </c>
      <c r="N216" s="12" t="inlineStr">
        <is>
          <t>single-source — NEEDS VERIFICATION [DL3] KFF, August 14, 2026 (state file, expansion tracker, $155 billion) is on the decision-log re-check list (secs. 5–6; App. H); this row rests on it.</t>
        </is>
      </c>
    </row>
    <row r="217" ht="84.75" customHeight="1" s="10">
      <c r="A217" s="12" t="inlineStr">
        <is>
          <t>5. State exposure</t>
        </is>
      </c>
      <c r="B217" s="13" t="inlineStr">
        <is>
          <t>SE-13</t>
        </is>
      </c>
      <c r="C217" s="12" t="inlineStr">
        <is>
          <t>All eight Group D states carry data quality flags: three INSUFFICIENT (FL, KS, MS) and five PARTIAL (GA, SC, TN, TX, WI)</t>
        </is>
      </c>
      <c r="D217" s="12" t="inlineStr">
        <is>
          <t>state classification [E]</t>
        </is>
      </c>
      <c r="E217" s="12" t="inlineStr">
        <is>
          <t>KFF file as processed</t>
        </is>
      </c>
      <c r="F217" s="12" t="inlineStr">
        <is>
          <t>Note App. H ('Draft note, Group D flags'); sec. 6 (Group D paragraph, 'all eight states carry KFF data-quality flags')</t>
        </is>
      </c>
      <c r="G217" s="12" t="inlineStr">
        <is>
          <t>Note App. H</t>
        </is>
      </c>
      <c r="H217" s="12" t="inlineStr">
        <is>
          <t>Data quality on the state record</t>
        </is>
      </c>
      <c r="I217" s="12" t="inlineStr">
        <is>
          <t>state level</t>
        </is>
      </c>
      <c r="J217" s="12" t="inlineStr">
        <is>
          <t>Aug 2026</t>
        </is>
      </c>
      <c r="K217" s="12" t="inlineStr">
        <is>
          <t>n/a</t>
        </is>
      </c>
      <c r="L217" s="12" t="inlineStr">
        <is>
          <t>not scenario-dependent</t>
        </is>
      </c>
      <c r="M217" s="12" t="inlineStr">
        <is>
          <t>C4 deliverable reproduces this exactly: FL, KS, MS = INSUFFICIENT; GA, SC, TN, TX, WI = PARTIAL UPDATED October 11, 2026: v17 moves the flag list to App. H (change map T32) and keeps 'all eight states carry KFF data-quality flags' in sec. 6, tagged within the [I] sentence 'Group D's dollar figures are the least reliable'. KFF flags insufficient data in Florida, Kansas and Mississippi and partial data in Georgia, South Carolina, Tennessee, Texas and Wisconsin, as before.</t>
        </is>
      </c>
      <c r="N217" s="12" t="inlineStr">
        <is>
          <t>verified — NEEDS VERIFICATION [DL3] KFF, August 14, 2026 (state file, expansion tracker, $155 billion) is on the decision-log re-check list (secs. 5–6; App. H); this row rests on it.</t>
        </is>
      </c>
    </row>
    <row r="218" ht="137.25" customHeight="1" s="10">
      <c r="A218" s="12" t="inlineStr">
        <is>
          <t>5. State exposure</t>
        </is>
      </c>
      <c r="B218" s="13" t="inlineStr">
        <is>
          <t>SE-14</t>
        </is>
      </c>
      <c r="C218" s="12" t="inlineStr">
        <is>
          <t>Minnesota and Missouri belong in Group A but have no KFF estimate, so they are excluded from the $60 billion and the $45.4B</t>
        </is>
      </c>
      <c r="D218" s="12" t="inlineStr">
        <is>
          <t>third-party estimate + state classification [E]</t>
        </is>
      </c>
      <c r="E218" s="12" t="inlineStr">
        <is>
          <t>KFF</t>
        </is>
      </c>
      <c r="F218" s="12" t="inlineStr">
        <is>
          <t>Issue brief, Aug 14, 2026; note sec. 6 ('Excluding Minnesota and Missouri (no estimate)' and 'belong in Group A but have no KFF estimate')</t>
        </is>
      </c>
      <c r="G218" s="12" t="inlineStr">
        <is>
          <t>Note sec. 6</t>
        </is>
      </c>
      <c r="H218" s="12" t="inlineStr">
        <is>
          <t>A missing measurement, not a zero</t>
        </is>
      </c>
      <c r="I218" s="12" t="inlineStr">
        <is>
          <t>hospital only</t>
        </is>
      </c>
      <c r="J218" s="12" t="inlineStr">
        <is>
          <t>FFY2025</t>
        </is>
      </c>
      <c r="K218" s="12" t="inlineStr">
        <is>
          <t>n/a</t>
        </is>
      </c>
      <c r="L218" s="12" t="inlineStr">
        <is>
          <t>not scenario-dependent</t>
        </is>
      </c>
      <c r="M218" s="12" t="inlineStr">
        <is>
          <t>C4: both INSUFFICIENT with a blank share. The C4 response states the point directly — "their blank is not a zero" — and distinguishes them from the 14 determined zeros UPDATED October 11, 2026: v17 states the exclusion and 'no KFF estimate' and no longer says the two states' SDPs are 'benchmarked to average commercial rates'; that limb is no longer a note claim. v17 tags the whole sentence [E], but 'belong in Group A' is THEIA Services' own grouping (SE-17); the C4 check (both INSUFFICIENT with a blank share) supports the 'no estimate' limb only. Previous wording: 'Minnesota and Missouri have hospital SDPs benchmarked to average commercial rates but no estimable above-limit figure, and are excluded from the $45.4B'</t>
        </is>
      </c>
      <c r="N218" s="12" t="inlineStr">
        <is>
          <t>verified — NEEDS VERIFICATION [DL3] KFF, August 14, 2026 (state file, expansion tracker, $155 billion) is on the decision-log re-check list (secs. 5–6; App. H); this row rests on it.</t>
        </is>
      </c>
    </row>
    <row r="219" ht="157.5" customHeight="1" s="10">
      <c r="A219" s="12" t="inlineStr">
        <is>
          <t>5. State exposure</t>
        </is>
      </c>
      <c r="B219" s="13" t="inlineStr">
        <is>
          <t>SE-15</t>
        </is>
      </c>
      <c r="C219" s="12" t="inlineStr">
        <is>
          <t>KFF imputes payment rate detail for $39.6B of the $78.0B in federal hospital SDP spending; 35 of 131 preprints lacked payment levels</t>
        </is>
      </c>
      <c r="D219" s="12" t="inlineStr">
        <is>
          <t>third-party estimate</t>
        </is>
      </c>
      <c r="E219" s="12" t="inlineStr">
        <is>
          <t>KFF</t>
        </is>
      </c>
      <c r="F219" s="12" t="inlineStr">
        <is>
          <t>Issue brief, Aug 14, 2026, Methods</t>
        </is>
      </c>
      <c r="G219" s="12" t="inlineStr">
        <is>
          <t>"Of the 131 preprints included in the hospital spending analysis (accounting for $78.0 billion in federal spending on hospital services), 35 did not include payment levels in Table 2 (accounting for $39.6 billion in federal spending on hospital services)."</t>
        </is>
      </c>
      <c r="H219" s="12" t="inlineStr">
        <is>
          <t>Share of analyzed spending carrying imputed rates</t>
        </is>
      </c>
      <c r="I219" s="12" t="inlineStr">
        <is>
          <t>federal, hospital only</t>
        </is>
      </c>
      <c r="J219" s="12" t="inlineStr">
        <is>
          <t>FFY2025</t>
        </is>
      </c>
      <c r="K219" s="12" t="inlineStr">
        <is>
          <t>nominal</t>
        </is>
      </c>
      <c r="L219" s="12" t="inlineStr">
        <is>
          <t>not scenario-dependent</t>
        </is>
      </c>
      <c r="M219" s="12" t="inlineStr">
        <is>
          <t>SUPERSEDED October 11, 2026. The row says KFF imputes payment rate detail for $39.6B of the $78.0B in federal hospital SDP spending and that 35 of 131 preprints lacked payment levels. v17 states the $78 billion denominator (SE-02) but no longer states the imputed share, the $39.6B or the 35 of 131 preprints, and Figure 9, which drew on them, is no longer in the note (FG-09). Removed or reversed by: the revisions between the v9 sync and v17 (the supplied decision log and change map do not identify which revision removed the sentence). Replaced by: none (removed, not reversed). Original cross-check, retained for the record: V1 output verified the Methods quote and established that $39.6B is the only value KFF publishes for this quantity; a $39.1B variant in circulation does not appear in the brief. Internal: 39.6/78.0 = 50.8%, matching the note's "roughly half"</t>
        </is>
      </c>
      <c r="N219" s="12" t="inlineStr">
        <is>
          <t>SUPERSEDED — KFF imputation figures are no longer a note claim; no replacement row</t>
        </is>
      </c>
    </row>
    <row r="220" ht="178.5" customHeight="1" s="10">
      <c r="A220" s="12" t="inlineStr">
        <is>
          <t>5. State exposure</t>
        </is>
      </c>
      <c r="B220" s="13" t="inlineStr">
        <is>
          <t>SE-16</t>
        </is>
      </c>
      <c r="C220" s="12" t="inlineStr">
        <is>
          <t>KFF cautions that dollars above the caps do not show which states face the largest proportional effects, and finds that states with most SDP spending above the caps already have base rates at or near the caps, while low base rates leave more SDP spending under them</t>
        </is>
      </c>
      <c r="D220" s="12" t="inlineStr">
        <is>
          <t>third-party estimate [E]</t>
        </is>
      </c>
      <c r="E220" s="12" t="inlineStr">
        <is>
          <t>KFF</t>
        </is>
      </c>
      <c r="F220" s="12" t="inlineStr">
        <is>
          <t>Issue brief, Aug 14, 2026; note sec. 6 (paragraph after the bullets)</t>
        </is>
      </c>
      <c r="G220" s="12" t="inlineStr">
        <is>
          <t>Note sec. 6. KFF brief caveat (not re-read this cycle)</t>
        </is>
      </c>
      <c r="H220" s="12" t="inlineStr">
        <is>
          <t>Interpretive caveat on the dollar measure, and the direction of the base-rate relationship</t>
        </is>
      </c>
      <c r="I220" s="12" t="inlineStr">
        <is>
          <t>hospital only</t>
        </is>
      </c>
      <c r="J220" s="12" t="inlineStr">
        <is>
          <t>FFY2025</t>
        </is>
      </c>
      <c r="K220" s="12" t="inlineStr">
        <is>
          <t>n/a</t>
        </is>
      </c>
      <c r="L220" s="12" t="inlineStr">
        <is>
          <t>not scenario-dependent</t>
        </is>
      </c>
      <c r="M220" s="12" t="inlineStr">
        <is>
          <t>none located beyond KFF itself UPDATED October 11, 2026: CORRECTED. The previous wording had KFF's base-rate finding backwards: it said a high share above the limits partly reflects low base payment rates. The finding runs the other way: states with most SDP spending above the caps already have base rates at or near the caps, and low base rates leave more SDP spending under the caps. v17 states it that way. The first limb, 'dollars above the caps do not show which states face the largest proportional effects', replaces the earlier 'do not show proportional effects' (change map S6.2, NTC 6.14). The change map records v17's base-rate wording as 'kept as in v16' (S6.2). The correction was instructed by the note's author and matches v17's text; the KFF brief itself could not be re-read here. Previous wording: 'KFF's caveat governs the dollar column: a high share above limits partly reflects low base payment rates rather than unusually generous supplemental payments'</t>
        </is>
      </c>
      <c r="N220" s="12" t="inlineStr">
        <is>
          <t>single-source — direction corrected to match v17; KFF brief not re-read — NEEDS VERIFICATION [DL3] KFF, August 14, 2026 (state file, expansion tracker, $155 billion) is on the decision-log re-check list (secs. 5–6; App. H); this row rests on it.</t>
        </is>
      </c>
    </row>
    <row r="221" ht="95.25" customHeight="1" s="10">
      <c r="A221" s="12" t="inlineStr">
        <is>
          <t>5. State exposure</t>
        </is>
      </c>
      <c r="B221" s="13" t="inlineStr">
        <is>
          <t>SE-17</t>
        </is>
      </c>
      <c r="C221" s="12" t="inlineStr">
        <is>
          <t>The grouping is THEIA Services' construction from KFF's August 2026 state file and Medicaid expansion tracker, not KFF's classification</t>
        </is>
      </c>
      <c r="D221" s="12" t="inlineStr">
        <is>
          <t>contextual [I]</t>
        </is>
      </c>
      <c r="E221" s="12" t="inlineStr">
        <is>
          <t>THEIA Services</t>
        </is>
      </c>
      <c r="F221" s="12" t="inlineStr">
        <is>
          <t>Note sec. 6 (table source line)</t>
        </is>
      </c>
      <c r="G221" s="12" t="inlineStr">
        <is>
          <t>Note sec. 6: 'THEIA Services' grouping from KFF's August 2026 state file and Medicaid expansion tracker; KFF does not use these groups.'</t>
        </is>
      </c>
      <c r="H221" s="12" t="inlineStr">
        <is>
          <t>Authorship disclosure</t>
        </is>
      </c>
      <c r="I221" s="12" t="inlineStr">
        <is>
          <t>n/a</t>
        </is>
      </c>
      <c r="J221" s="12" t="inlineStr">
        <is>
          <t>n/a</t>
        </is>
      </c>
      <c r="K221" s="12" t="inlineStr">
        <is>
          <t>n/a</t>
        </is>
      </c>
      <c r="L221" s="12" t="inlineStr">
        <is>
          <t>not scenario-dependent</t>
        </is>
      </c>
      <c r="M221" s="12" t="inlineStr">
        <is>
          <t>C4 response documents the construction and the tier scheme it replaced (decision log B-9) UPDATED October 11, 2026: v17 has no footnote 5; the disclosure is in the table's source line and App. H is titled 'State group definitions and KFF data-quality flags'. v17 names the Medicaid expansion tracker as a second KFF source. The ledger's '[FIRM]' placeholder reads 'THEIA Services' in v17. Previous wording: 'The grouping is [FIRM]'s construction from KFF's file and expansion status, not KFF's classification'</t>
        </is>
      </c>
      <c r="N221" s="12" t="inlineStr">
        <is>
          <t>verified</t>
        </is>
      </c>
    </row>
    <row r="222" ht="147.75" customHeight="1" s="10">
      <c r="A222" s="12" t="inlineStr">
        <is>
          <t>5. State exposure</t>
        </is>
      </c>
      <c r="B222" s="13" t="inlineStr">
        <is>
          <t>SE-18</t>
        </is>
      </c>
      <c r="C222" s="12" t="inlineStr">
        <is>
          <t>Expansion states face the 100% SDP cap, the phase-down, the provider tax freeze and the lower threshold; non-expansion states face the 110% SDP cap, the phase-down and the freeze, but not the lower threshold</t>
        </is>
      </c>
      <c r="D222" s="12" t="inlineStr">
        <is>
          <t>rule mechanic / state classification [E]/[I]</t>
        </is>
      </c>
      <c r="E222" s="12" t="inlineStr">
        <is>
          <t>Sections 71115–71116</t>
        </is>
      </c>
      <c r="F222" s="12" t="inlineStr">
        <is>
          <t>Sections 71115-71116; note sec. 6 (group table, 'Parts of the two rules that reach the group')</t>
        </is>
      </c>
      <c r="G222" s="12" t="inlineStr">
        <is>
          <t>Note sec. 6, group table</t>
        </is>
      </c>
      <c r="H222" s="12" t="inlineStr">
        <is>
          <t>Structural comparison of mechanism reach</t>
        </is>
      </c>
      <c r="I222" s="12" t="inlineStr">
        <is>
          <t>state level</t>
        </is>
      </c>
      <c r="J222" s="12" t="inlineStr">
        <is>
          <t>prospective</t>
        </is>
      </c>
      <c r="K222" s="12" t="inlineStr">
        <is>
          <t>n/a</t>
        </is>
      </c>
      <c r="L222" s="12" t="inlineStr">
        <is>
          <t>not scenario-dependent</t>
        </is>
      </c>
      <c r="M222" s="12" t="inlineStr">
        <is>
          <t>C4 non_expansion_note carries the same statement on all 10 non-expansion rows UPDATED October 11, 2026: WORDING CORRECTED. The earlier text said non-expansion states face 'a 110% cap and no phase-down', using 'phase-down' for the provider tax threshold. v17 uses 'phase-down' for the grandfathered SDP phase-down, which applies in every state (RM-03; Group D 'The 110% cap, phase-down and provider tax freeze'), and 'lower threshold' for the tax limit, which reaches expansion states only (RM-08). Read as written, the earlier wording contradicts v17 on the SDP phase-down. C4's non_expansion_note carries the earlier statement and is not changed. Previous wording: 'Expansion states face the 100% cap and the phase-down; non-expansion states face a 110% cap and no phase-down, but the new-tax freeze applies to them'</t>
        </is>
      </c>
      <c r="N222" s="12" t="inlineStr">
        <is>
          <t>verified with caveat — earlier 'no phase-down' wording meant the tax threshold; v17 restates it</t>
        </is>
      </c>
    </row>
    <row r="223" ht="199.5" customHeight="1" s="10">
      <c r="A223" s="12" t="inlineStr">
        <is>
          <t>5. State exposure</t>
        </is>
      </c>
      <c r="B223" s="13" t="inlineStr">
        <is>
          <t>SE-19</t>
        </is>
      </c>
      <c r="C223" s="12" t="inlineStr">
        <is>
          <t>Twelve states carry PARTIAL or INSUFFICIENT data quality flags in the state file</t>
        </is>
      </c>
      <c r="D223" s="12" t="inlineStr">
        <is>
          <t>state classification</t>
        </is>
      </c>
      <c r="E223" s="12" t="inlineStr">
        <is>
          <t>State tier file (C4), re-derived for this ledger</t>
        </is>
      </c>
      <c r="F223" s="12" t="inlineStr">
        <is>
          <t>Note sec. 6, gap 5; C4 data_quality_flag column</t>
        </is>
      </c>
      <c r="G223" s="12" t="inlineStr">
        <is>
          <t>Data quality column, all 51 jurisdictions</t>
        </is>
      </c>
      <c r="H223" s="12" t="inlineStr">
        <is>
          <t>Count of jurisdictions whose record carries a data quality flag</t>
        </is>
      </c>
      <c r="I223" s="12" t="inlineStr">
        <is>
          <t>state count</t>
        </is>
      </c>
      <c r="J223" s="12" t="inlineStr">
        <is>
          <t>Aug 2026 file</t>
        </is>
      </c>
      <c r="K223" s="12" t="inlineStr">
        <is>
          <t>n/a</t>
        </is>
      </c>
      <c r="L223" s="12" t="inlineStr">
        <is>
          <t>not scenario-dependent</t>
        </is>
      </c>
      <c r="M223" s="12" t="inlineStr">
        <is>
          <t>SUPERSEDED October 11, 2026. The row says twelve states carry PARTIAL or INSUFFICIENT data-quality flags. v17 no longer gives a total. It says all eight Group D states carry flags (sec. 6; SE-13), that two Group E states do (SE-20) and that Minnesota and Missouri have no estimate (SE-14); sec. 6 gap 5 is gone. The re-derivation stays true of the C4 file. Removed or reversed by: the revisions between the v9 sync and v17 (the supplied decision log and change map do not identify which revision removed the sentence). Replaced by: SE-13, SE-14 and SE-20 carry the components. Original cross-check, retained for the record: C4 recomputed independently for this ledger: 5 INSUFFICIENT (FL, KS, MN, MO, MS) and 7 PARTIAL (AL, GA, SC, TN, TX, WI, WY) = 12 of 51. The count decomposes as the 8 Group D states at SE-13, plus Minnesota and Missouri at SE-14, plus Alabama and Wyoming, which are non-expansion determined-zero rows carrying 'PARTIAL / DETERMINED ZERO'. The note's corrected figure of twelve reproduces exactly; the ledger's earlier figure of ten did not count Alabama and Wyoming</t>
        </is>
      </c>
      <c r="N223" s="12" t="inlineStr">
        <is>
          <t>SUPERSEDED — twelve-state flag count is no longer a note claim; no replacement row</t>
        </is>
      </c>
    </row>
    <row r="224" ht="95.25" customHeight="1" s="10">
      <c r="A224" s="12" t="inlineStr">
        <is>
          <t>5. State exposure</t>
        </is>
      </c>
      <c r="B224" s="13" t="inlineStr">
        <is>
          <t>SE-20</t>
        </is>
      </c>
      <c r="C224" s="12" t="inlineStr">
        <is>
          <t>Group E includes Alabama and Wyoming, whose KFF data-quality flags mean their lack of identified SDPs above the caps partly reflects limited data</t>
        </is>
      </c>
      <c r="D224" s="12" t="inlineStr">
        <is>
          <t>state classification [I]</t>
        </is>
      </c>
      <c r="E224" s="12" t="inlineStr">
        <is>
          <t>State tier file (C4)</t>
        </is>
      </c>
      <c r="F224" s="12" t="inlineStr">
        <is>
          <t>Note sec. 6 ('two Group E states carry KFF data-quality flags'); App. H ('Draft note, Group D flags')</t>
        </is>
      </c>
      <c r="G224" s="12" t="inlineStr">
        <is>
          <t>Note App. H</t>
        </is>
      </c>
      <c r="H224" s="12" t="inlineStr">
        <is>
          <t>Data quality within Group E</t>
        </is>
      </c>
      <c r="I224" s="12" t="inlineStr">
        <is>
          <t>state level</t>
        </is>
      </c>
      <c r="J224" s="12" t="inlineStr">
        <is>
          <t>Aug 2026 file</t>
        </is>
      </c>
      <c r="K224" s="12" t="inlineStr">
        <is>
          <t>n/a</t>
        </is>
      </c>
      <c r="L224" s="12" t="inlineStr">
        <is>
          <t>not scenario-dependent</t>
        </is>
      </c>
      <c r="M224" s="12" t="inlineStr">
        <is>
          <t>C4: AL and WY carry 'PARTIAL / DETERMINED ZERO' (SE-19). The inference that the zero partly reflects data limits is [FIRM]'s UPDATED October 11, 2026: v17 gives the flag detail in App. H, tags it [I], and in sec. 6 says only that 'two Group E states carry KFF data-quality flags'. The twelve-state count at SE-19 is no longer a note claim. Previous wording: 'Group E includes Alabama and Wyoming, whose records carry data-quality flags, so 'no identified exposure' partly reflects limited data there'</t>
        </is>
      </c>
      <c r="N224" s="12" t="inlineStr">
        <is>
          <t>verified — NEEDS VERIFICATION [DL3] KFF, August 14, 2026 (state file, expansion tracker, $155 billion) is on the decision-log re-check list (secs. 5–6; App. H); this row rests on it.</t>
        </is>
      </c>
    </row>
    <row r="225" ht="95.25" customHeight="1" s="10">
      <c r="A225" s="12" t="inlineStr">
        <is>
          <t>5. State exposure</t>
        </is>
      </c>
      <c r="B225" s="13" t="inlineStr">
        <is>
          <t>SE-21</t>
        </is>
      </c>
      <c r="C225" s="12" t="inlineStr">
        <is>
          <t>No group separates SDPs funded by provider taxes from SDPs funded only by IGTs, which the lower threshold does not reach</t>
        </is>
      </c>
      <c r="D225" s="12" t="inlineStr">
        <is>
          <t>state classification - limitation [I]</t>
        </is>
      </c>
      <c r="E225" s="12" t="inlineStr">
        <is>
          <t>[FIRM]</t>
        </is>
      </c>
      <c r="F225" s="12" t="inlineStr">
        <is>
          <t>Note sec. 6 (last paragraph)</t>
        </is>
      </c>
      <c r="G225" s="12" t="inlineStr">
        <is>
          <t>Note sec. 6</t>
        </is>
      </c>
      <c r="H225" s="12" t="inlineStr">
        <is>
          <t>Scope limit of the grouping</t>
        </is>
      </c>
      <c r="I225" s="12" t="inlineStr">
        <is>
          <t>state level</t>
        </is>
      </c>
      <c r="J225" s="12" t="inlineStr">
        <is>
          <t>n/a</t>
        </is>
      </c>
      <c r="K225" s="12" t="inlineStr">
        <is>
          <t>n/a</t>
        </is>
      </c>
      <c r="L225" s="12" t="inlineStr">
        <is>
          <t>not scenario-dependent</t>
        </is>
      </c>
      <c r="M225" s="12" t="inlineStr">
        <is>
          <t>C4 carries expansion status, the hospital tax indicator, share above limits and data quality flags, and no financing-source field, so the grouping cannot draw this distinction. Related: RM-13, CE-40 UPDATED October 11, 2026: v17 words it 'SDPs funded only by IGTs' (change map S6.6) and places it in the Minnesota and Missouri paragraph. Related: RM-13, CE-40, CE-80. Previous wording: 'The grouping does not distinguish SDPs financed by provider taxes from those financed by public-hospital IGTs, which the tax phase-down does not reach'</t>
        </is>
      </c>
      <c r="N225" s="12" t="inlineStr">
        <is>
          <t>verified</t>
        </is>
      </c>
    </row>
    <row r="226" ht="42.75" customHeight="1" s="10">
      <c r="A226" s="12" t="inlineStr">
        <is>
          <t>5. State exposure</t>
        </is>
      </c>
      <c r="B226" s="13" t="inlineStr">
        <is>
          <t>SE-22</t>
        </is>
      </c>
      <c r="C226" s="12" t="inlineStr">
        <is>
          <t>THEIA Services groups states by which parts of the two rules reach them, not by how much they would lose</t>
        </is>
      </c>
      <c r="D226" s="12" t="inlineStr">
        <is>
          <t>contextual [I]</t>
        </is>
      </c>
      <c r="E226" s="12" t="inlineStr">
        <is>
          <t>THEIA Services</t>
        </is>
      </c>
      <c r="F226" s="12" t="inlineStr">
        <is>
          <t>Note sec. 6 (first sentence); Figure 6 caption</t>
        </is>
      </c>
      <c r="G226" s="12" t="inlineStr">
        <is>
          <t>Note sec. 6: 'THEIA Services groups states by which parts of the two rules reach them, not by how much they would lose.'</t>
        </is>
      </c>
      <c r="H226" s="12" t="inlineStr">
        <is>
          <t>Purpose and limit of the grouping</t>
        </is>
      </c>
      <c r="I226" s="12" t="inlineStr">
        <is>
          <t>state level</t>
        </is>
      </c>
      <c r="J226" s="12" t="inlineStr">
        <is>
          <t>n/a</t>
        </is>
      </c>
      <c r="K226" s="12" t="inlineStr">
        <is>
          <t>n/a</t>
        </is>
      </c>
      <c r="L226" s="12" t="inlineStr">
        <is>
          <t>not scenario-dependent</t>
        </is>
      </c>
      <c r="M226" s="12" t="inlineStr">
        <is>
          <t>The group table's dollar column is KFF's federal hospital SDP spending above the caps and is not a loss estimate. Same limit as the Figure 6 caption (FG-06: 'the map shows where the rules apply, not where losses would be largest').</t>
        </is>
      </c>
      <c r="N226" s="12" t="inlineStr">
        <is>
          <t>verified</t>
        </is>
      </c>
    </row>
    <row r="227" ht="42.75" customHeight="1" s="10">
      <c r="A227" s="12" t="inlineStr">
        <is>
          <t>5. State exposure</t>
        </is>
      </c>
      <c r="B227" s="13" t="inlineStr">
        <is>
          <t>SE-23</t>
        </is>
      </c>
      <c r="C227" s="12" t="inlineStr">
        <is>
          <t>The freeze limits every state's ability to replace lost payments with new or higher provider taxes</t>
        </is>
      </c>
      <c r="D227" s="12" t="inlineStr">
        <is>
          <t>contextual [I]</t>
        </is>
      </c>
      <c r="E227" s="12" t="inlineStr">
        <is>
          <t>THEIA Services reading of Section 71115 and CMS-2452-P</t>
        </is>
      </c>
      <c r="F227" s="12" t="inlineStr">
        <is>
          <t>Note sec. 6 (paragraph after the group table)</t>
        </is>
      </c>
      <c r="G227" s="12" t="inlineStr">
        <is>
          <t>Note sec. 6</t>
        </is>
      </c>
      <c r="H227" s="12" t="inlineStr">
        <is>
          <t>Reach of the provider tax freeze</t>
        </is>
      </c>
      <c r="I227" s="12" t="inlineStr">
        <is>
          <t>all states</t>
        </is>
      </c>
      <c r="J227" s="12" t="inlineStr">
        <is>
          <t>prospective</t>
        </is>
      </c>
      <c r="K227" s="12" t="inlineStr">
        <is>
          <t>n/a</t>
        </is>
      </c>
      <c r="L227" s="12" t="inlineStr">
        <is>
          <t>not scenario-dependent</t>
        </is>
      </c>
      <c r="M227" s="12" t="inlineStr">
        <is>
          <t>The freeze applies in all states and covers rate increases as well as new taxes (RM-06, RM-27). The conclusion about replacing lost payments is THEIA Services' reading and is tagged [I].</t>
        </is>
      </c>
      <c r="N227" s="12" t="inlineStr">
        <is>
          <t>verified as inference</t>
        </is>
      </c>
    </row>
    <row r="228" ht="84.75" customHeight="1" s="10">
      <c r="A228" s="12" t="inlineStr">
        <is>
          <t>5. State exposure</t>
        </is>
      </c>
      <c r="B228" s="13" t="inlineStr">
        <is>
          <t>SE-24</t>
        </is>
      </c>
      <c r="C228" s="12" t="inlineStr">
        <is>
          <t>KFF cautions that dollars above the caps do not show which states face the largest proportional effects</t>
        </is>
      </c>
      <c r="D228" s="12" t="inlineStr">
        <is>
          <t>third-party estimate [E]</t>
        </is>
      </c>
      <c r="E228" s="12" t="inlineStr">
        <is>
          <t>KFF</t>
        </is>
      </c>
      <c r="F228" s="12" t="inlineStr">
        <is>
          <t>Issue brief, Aug 14, 2026; note sec. 6</t>
        </is>
      </c>
      <c r="G228" s="12" t="inlineStr">
        <is>
          <t>Note sec. 6</t>
        </is>
      </c>
      <c r="H228" s="12" t="inlineStr">
        <is>
          <t>Interpretive limit on the dollar measure</t>
        </is>
      </c>
      <c r="I228" s="12" t="inlineStr">
        <is>
          <t>hospital only</t>
        </is>
      </c>
      <c r="J228" s="12" t="inlineStr">
        <is>
          <t>FFY2025</t>
        </is>
      </c>
      <c r="K228" s="12" t="inlineStr">
        <is>
          <t>n/a</t>
        </is>
      </c>
      <c r="L228" s="12" t="inlineStr">
        <is>
          <t>not scenario-dependent</t>
        </is>
      </c>
      <c r="M228" s="12" t="inlineStr">
        <is>
          <t>First limb of the sentence at SE-16, split out so the base-rate direction can be tracked separately. The KFF brief was not re-read this cycle. No corroborating source located beyond KFF itself.</t>
        </is>
      </c>
      <c r="N228" s="12" t="inlineStr">
        <is>
          <t>single-source — NEEDS VERIFICATION [DL3] KFF, August 14, 2026 (state file, expansion tracker, $155 billion) is on the decision-log re-check list (secs. 5–6; App. H); this row rests on it.</t>
        </is>
      </c>
    </row>
    <row r="229" ht="273" customHeight="1" s="10">
      <c r="A229" s="12" t="inlineStr">
        <is>
          <t>6. Access context</t>
        </is>
      </c>
      <c r="B229" s="13" t="inlineStr">
        <is>
          <t>AC-01</t>
        </is>
      </c>
      <c r="C229" s="12" t="inlineStr">
        <is>
          <t>Obstetric, pediatric and inpatient psychiatric services were shrinking or shifting before either rule was proposed</t>
        </is>
      </c>
      <c r="D229" s="12" t="inlineStr">
        <is>
          <t>contextual [E]</t>
        </is>
      </c>
      <c r="E229" s="12" t="inlineStr">
        <is>
          <t>GAO; Michelson et al.; Lindenfeld et al.</t>
        </is>
      </c>
      <c r="F229" s="12" t="inlineStr">
        <is>
          <t>GAO-23-105515, October 2022; Michelson et al., December 2024; Lindenfeld et al., PLoS Medicine, July 2025 (data window ending 2023); note sec. 8 (opening paragraph)</t>
        </is>
      </c>
      <c r="G229" s="12" t="inlineStr">
        <is>
          <t>Note sec. 8: 'Obstetric, pediatric and inpatient psychiatric services were shrinking or shifting before either rule was proposed (studies below)'</t>
        </is>
      </c>
      <c r="H229" s="12" t="inlineStr">
        <is>
          <t>Pre-existing service-line fragility, evidenced by facility, unit and bed counts</t>
        </is>
      </c>
      <c r="I229" s="12" t="inlineStr">
        <is>
          <t>service line</t>
        </is>
      </c>
      <c r="J229" s="12" t="inlineStr">
        <is>
          <t>2004–2023 across the three sources</t>
        </is>
      </c>
      <c r="K229" s="12" t="inlineStr">
        <is>
          <t>n/a</t>
        </is>
      </c>
      <c r="L229" s="12" t="inlineStr">
        <is>
          <t>not scenario-dependent</t>
        </is>
      </c>
      <c r="M229" s="12" t="inlineStr">
        <is>
          <t>GAO is synthesising published research, not reporting an original count; the note's attribution was corrected from 'GAO found that' to 'GAO reported that research indicates'. The psychiatric limb does not support an aggregate contraction: total beds across both facility types were essentially flat and no bed type's average annual percent change was statistically significant (AC-07, AC-08, AC-11, AC-14; AC-12 superseded), and the note now states this. EMERGENCY LIMB REMOVED: the earlier version of this row claimed emergency services alongside the other three, cited by none of the sources; the note's rewritten sentence names obstetric, inpatient psychiatric and pediatric only, and this row now matches it. The three underlying citations are ledgered individually at AC-09, AC-10 and AC-11. Framing test: passes - stated as predating the rules and documented independently of them, with no causal claim UPDATED October 11, 2026: v17 words the claim as 'shrinking or shifting before either rule was proposed (studies below)' and no longer says 'structural fragility' or 'documented independently of them'. 'Shrinking or shifting' fits the psychiatric limb, where the authors found no statistically significant trend (AC-08). Still no causal claim. The three underlying citations remain at AC-09, AC-10 and AC-11 (psychiatric limb also AC-07). Previous wording: 'Structural fragility in obstetric, inpatient psychiatric and pediatric services predates both rules and is documented independently of them'</t>
        </is>
      </c>
      <c r="N229" s="12" t="inlineStr">
        <is>
          <t>verified with caveat - cited at AC-09, AC-10 and AC-11; the psychiatric limb shows shifting point estimates with no significant trend, not aggregate decline (AC-14)</t>
        </is>
      </c>
    </row>
    <row r="230" ht="147.75" customHeight="1" s="10">
      <c r="A230" s="12" t="inlineStr">
        <is>
          <t>6. Access context</t>
        </is>
      </c>
      <c r="B230" s="13" t="inlineStr">
        <is>
          <t>AC-02</t>
        </is>
      </c>
      <c r="C230" s="12" t="inlineStr">
        <is>
          <t>Where hospitals run obstetric, pediatric or psychiatric services below cost and cover the loss from other revenue, lower SDPs are a plausible pressure point</t>
        </is>
      </c>
      <c r="D230" s="12" t="inlineStr">
        <is>
          <t>contextual (conditional) [C]</t>
        </is>
      </c>
      <c r="E230" s="12" t="inlineStr">
        <is>
          <t>[FIRM]</t>
        </is>
      </c>
      <c r="F230" s="12" t="inlineStr">
        <is>
          <t>Note sec. 8 (IMD paragraph, last sentence)</t>
        </is>
      </c>
      <c r="G230" s="12" t="inlineStr">
        <is>
          <t>Note sec. 8</t>
        </is>
      </c>
      <c r="H230" s="12" t="inlineStr">
        <is>
          <t>A conditional mechanism, not a prediction</t>
        </is>
      </c>
      <c r="I230" s="12" t="inlineStr">
        <is>
          <t>service line</t>
        </is>
      </c>
      <c r="J230" s="12" t="inlineStr">
        <is>
          <t>prospective</t>
        </is>
      </c>
      <c r="K230" s="12" t="inlineStr">
        <is>
          <t>n/a</t>
        </is>
      </c>
      <c r="L230" s="12" t="inlineStr">
        <is>
          <t>conditional</t>
        </is>
      </c>
      <c r="M230" s="12" t="inlineStr">
        <is>
          <t>Framing test: passes — the note states in the next sentence that it is not a prediction and that public data cannot convert it into one UPDATED October 11, 2026: v17 tags the conditional [C] (depends on facts not yet public: which hospitals run these services below cost). The earlier 'cross-subsidized within a system' and 'reduction in supplemental payment capacity' are replaced by 'cover the loss from other revenue' and 'lower SDPs'. The disclaimer that the note makes no prediction moved to the opening paragraph of sec. 8 ('THEIA Services makes no prediction about closures or service cuts'; AC-03). Previous wording: 'Where those services already operate below cost and are cross-subsidized within a system, a reduction in supplemental payment capacity is a plausible pressure point'</t>
        </is>
      </c>
      <c r="N230" s="12" t="inlineStr">
        <is>
          <t>verified as conditional</t>
        </is>
      </c>
    </row>
    <row r="231" ht="137.25" customHeight="1" s="10">
      <c r="A231" s="12" t="inlineStr">
        <is>
          <t>6. Access context</t>
        </is>
      </c>
      <c r="B231" s="13" t="inlineStr">
        <is>
          <t>AC-03</t>
        </is>
      </c>
      <c r="C231" s="12" t="inlineStr">
        <is>
          <t>The rules' effect on obstetric, pediatric and inpatient psychiatric services cannot be predicted from public data because it depends on state budgets, managed care contracts and each hospital's finances; THEIA Services makes no prediction about closures or service cuts</t>
        </is>
      </c>
      <c r="D231" s="12" t="inlineStr">
        <is>
          <t>contextual [I]</t>
        </is>
      </c>
      <c r="E231" s="12" t="inlineStr">
        <is>
          <t>[FIRM]</t>
        </is>
      </c>
      <c r="F231" s="12" t="inlineStr">
        <is>
          <t>Note sec. 8 (opening paragraph)</t>
        </is>
      </c>
      <c r="G231" s="12" t="inlineStr">
        <is>
          <t>Note sec. 8</t>
        </is>
      </c>
      <c r="H231" s="12" t="inlineStr">
        <is>
          <t>What public data can and cannot support about service-line effects</t>
        </is>
      </c>
      <c r="I231" s="12" t="inlineStr">
        <is>
          <t>facility level</t>
        </is>
      </c>
      <c r="J231" s="12" t="inlineStr">
        <is>
          <t>prospective</t>
        </is>
      </c>
      <c r="K231" s="12" t="inlineStr">
        <is>
          <t>n/a</t>
        </is>
      </c>
      <c r="L231" s="12" t="inlineStr">
        <is>
          <t>not scenario-dependent</t>
        </is>
      </c>
      <c r="M231" s="12" t="inlineStr">
        <is>
          <t>Supported by the gaps at NC-01 through NC-03, each of which independently blocks a link in this chain UPDATED October 11, 2026: v17 names three links (state budgets, managed care contracts, each hospital's finances) where the earlier row named four (state legislative response, managed care contracting, hospital-specific payer mix and facility-level margin). The 'none of which is observable' limb is no longer stated; the gaps at NC-01, NC-02 and NC-19 still support the point. Previous wording: 'The chain from a financing change to a service-line closure runs through state legislative response, managed care contracting, hospital-specific payer mix and facility-level margin, none of which is observable in the public record'</t>
        </is>
      </c>
      <c r="N231" s="12" t="inlineStr">
        <is>
          <t>verified</t>
        </is>
      </c>
    </row>
    <row r="232" ht="105.75" customHeight="1" s="10">
      <c r="A232" s="12" t="inlineStr">
        <is>
          <t>6. Access context</t>
        </is>
      </c>
      <c r="B232" s="13" t="inlineStr">
        <is>
          <t>AC-04</t>
        </is>
      </c>
      <c r="C232" s="12" t="inlineStr">
        <is>
          <t>A more generous grandfathering window delays a phase-down rather than removing it, the phase-down still runs at 10 points per year from FFY2028, and a defaulted limit is a limit nobody outside the state can currently compute</t>
        </is>
      </c>
      <c r="D232" s="12" t="inlineStr">
        <is>
          <t>derived arithmetic</t>
        </is>
      </c>
      <c r="E232" s="12" t="inlineStr">
        <is>
          <t>RM-03, RM-18, RM-19</t>
        </is>
      </c>
      <c r="F232" s="12" t="inlineStr">
        <is>
          <t>Note sec. 5</t>
        </is>
      </c>
      <c r="G232" s="12" t="inlineStr">
        <is>
          <t>Narrative</t>
        </is>
      </c>
      <c r="H232" s="12" t="inlineStr">
        <is>
          <t>Consequence of the mechanics for rural facilities</t>
        </is>
      </c>
      <c r="I232" s="12" t="inlineStr">
        <is>
          <t>facility class</t>
        </is>
      </c>
      <c r="J232" s="12" t="inlineStr">
        <is>
          <t>FFY2028 onward</t>
        </is>
      </c>
      <c r="K232" s="12" t="inlineStr">
        <is>
          <t>n/a</t>
        </is>
      </c>
      <c r="L232" s="12" t="inlineStr">
        <is>
          <t>not scenario-dependent</t>
        </is>
      </c>
      <c r="M232" s="12" t="inlineStr">
        <is>
          <t>SUPERSEDED September 27, 2026. The row says a defaulted limit is 'a limit nobody outside the state can currently compute'. The note now says that where the limit defaults to the State plan rate, 'SDP room above base payments may be small or zero, which could be more restrictive, not merely more uncertain'. Removed or reversed by: the revisions since the September 22, 2026 sync (four revisions, ending at v9); the supplied materials do not identify which of the four. Replaced by: AC-16. Original cross-check, retained for the record: Internal: follows from RM-03, RM-18 and RM-19, each of which is itself single-source</t>
        </is>
      </c>
      <c r="N232" s="12" t="inlineStr">
        <is>
          <t>SUPERSEDED — restated as possibly more restrictive; replaced by AC-16</t>
        </is>
      </c>
    </row>
    <row r="233" ht="84.75" customHeight="1" s="10">
      <c r="A233" s="12" t="inlineStr">
        <is>
          <t>6. Access context</t>
        </is>
      </c>
      <c r="B233" s="13" t="inlineStr">
        <is>
          <t>AC-05</t>
        </is>
      </c>
      <c r="C233" s="12" t="inlineStr">
        <is>
          <t>Many rural facilities operate with limited financial cushion and high public payer exposure, which can make revenue disruption harder to absorb</t>
        </is>
      </c>
      <c r="D233" s="12" t="inlineStr">
        <is>
          <t>contextual (conditional)</t>
        </is>
      </c>
      <c r="E233" s="12" t="inlineStr">
        <is>
          <t>**none cited**</t>
        </is>
      </c>
      <c r="F233" s="12" t="inlineStr">
        <is>
          <t>Note sec. 5 carries no citation for this sentence</t>
        </is>
      </c>
      <c r="G233" s="12" t="inlineStr">
        <is>
          <t>—</t>
        </is>
      </c>
      <c r="H233" s="12" t="inlineStr">
        <is>
          <t>Pre-existing financial condition of rural facilities</t>
        </is>
      </c>
      <c r="I233" s="12" t="inlineStr">
        <is>
          <t>facility class</t>
        </is>
      </c>
      <c r="J233" s="12" t="inlineStr">
        <is>
          <t>pre-2025</t>
        </is>
      </c>
      <c r="K233" s="12" t="inlineStr">
        <is>
          <t>n/a</t>
        </is>
      </c>
      <c r="L233" s="12" t="inlineStr">
        <is>
          <t>conditional</t>
        </is>
      </c>
      <c r="M233" s="12" t="inlineStr">
        <is>
          <t>SUPERSEDED. No supporting source was ever located, and the note's rewrite of the rural paragraph removed the sentence this row described. The proposition is now asserted only in the negative - that it is not established by the three sources cited - and is ledgered at NC-12 with its search scope at C-12. Row retained, not deleted, so the decision trail survives: the claim was flagged unresolved in the September 7 ledger, and the note responded by dropping the assertion rather than sourcing it</t>
        </is>
      </c>
      <c r="N233" s="12" t="inlineStr">
        <is>
          <t>SUPERSEDED by the rural-paragraph rewrite - replaced by NC-12</t>
        </is>
      </c>
    </row>
    <row r="234" ht="147.75" customHeight="1" s="10">
      <c r="A234" s="12" t="inlineStr">
        <is>
          <t>6. Access context</t>
        </is>
      </c>
      <c r="B234" s="13" t="inlineStr">
        <is>
          <t>AC-06</t>
        </is>
      </c>
      <c r="C234" s="12" t="inlineStr">
        <is>
          <t>Direct exposure and timing vary materially by rural designation, grandfathering status, payment methodology and state financing design</t>
        </is>
      </c>
      <c r="D234" s="12" t="inlineStr">
        <is>
          <t>contextual (conditional)</t>
        </is>
      </c>
      <c r="E234" s="12" t="inlineStr">
        <is>
          <t>[FIRM]</t>
        </is>
      </c>
      <c r="F234" s="12" t="inlineStr">
        <is>
          <t>Note sec. 5</t>
        </is>
      </c>
      <c r="G234" s="12" t="inlineStr">
        <is>
          <t>Narrative</t>
        </is>
      </c>
      <c r="H234" s="12" t="inlineStr">
        <is>
          <t>Heterogeneity within the rural category</t>
        </is>
      </c>
      <c r="I234" s="12" t="inlineStr">
        <is>
          <t>facility class</t>
        </is>
      </c>
      <c r="J234" s="12" t="inlineStr">
        <is>
          <t>prospective</t>
        </is>
      </c>
      <c r="K234" s="12" t="inlineStr">
        <is>
          <t>n/a</t>
        </is>
      </c>
      <c r="L234" s="12" t="inlineStr">
        <is>
          <t>conditional</t>
        </is>
      </c>
      <c r="M234" s="12" t="inlineStr">
        <is>
          <t>SUPERSEDED October 11, 2026. The row says direct exposure and timing vary materially by rural designation, grandfathering status, payment methodology and state financing design. v17 sec. 8 makes narrower rural statements (the July 4, 2025 cutoff, the unchanged 2028 phase-down and the default to the state plan rate; AC-16, RM-16, RM-18) and no longer says exposure and timing vary 'materially' across four dimensions. Removed or reversed by: the revisions between the v9 sync and v17 (the supplied decision log and change map do not identify which revision removed the sentence). Replaced by: AC-16, RM-16 and RM-18 carry the rural statements v17 does make. Original cross-check, retained for the record: Supported by RM-16, RM-17 and RM-18, which establish four distinct treatment paths within the rural category</t>
        </is>
      </c>
      <c r="N234" s="12" t="inlineStr">
        <is>
          <t>SUPERSEDED — heterogeneity statement is no longer a note claim; no replacement row</t>
        </is>
      </c>
    </row>
    <row r="235" ht="147.75" customHeight="1" s="10">
      <c r="A235" s="12" t="inlineStr">
        <is>
          <t>6. Access context</t>
        </is>
      </c>
      <c r="B235" s="13" t="inlineStr">
        <is>
          <t>AC-07</t>
        </is>
      </c>
      <c r="C235" s="12" t="inlineStr">
        <is>
          <t>Total inpatient psychiatric beds per 100,000 people stayed about flat, 28.1 in 2011 and 28.4 in 2023, while freestanding psychiatric hospital beds rose from 16.8 to 19.5</t>
        </is>
      </c>
      <c r="D235" s="12" t="inlineStr">
        <is>
          <t>third-party estimate (peer-reviewed) [E]</t>
        </is>
      </c>
      <c r="E235" s="12" t="inlineStr">
        <is>
          <t>Lindenfeld et al., *PLoS Medicine*</t>
        </is>
      </c>
      <c r="F235" s="12" t="inlineStr">
        <is>
          <t>Published July 2025; data window 2011-2023; abstract; note sec. 8 (psychiatry bullet; Figure 8 caption)</t>
        </is>
      </c>
      <c r="G235" s="12" t="inlineStr">
        <is>
          <t>Note sec. 8</t>
        </is>
      </c>
      <c r="H235" s="12" t="inlineStr">
        <is>
          <t>Inpatient psychiatric beds per 100,000 population, by facility type and in total</t>
        </is>
      </c>
      <c r="I235" s="12" t="inlineStr">
        <is>
          <t>facility type, national</t>
        </is>
      </c>
      <c r="J235" s="12" t="inlineStr">
        <is>
          <t>2011–2023</t>
        </is>
      </c>
      <c r="K235" s="12" t="inlineStr">
        <is>
          <t>n/a</t>
        </is>
      </c>
      <c r="L235" s="12" t="inlineStr">
        <is>
          <t>not scenario-dependent</t>
        </is>
      </c>
      <c r="M235" s="12" t="inlineStr">
        <is>
          <t>Internal: 11.3 + 16.8 = 28.1 exactly for 2011, but 9.06 + 19.5 = 28.6 against the reported 28.4 for 2023, a 0.2 gap consistent with the paper's own rounding. **The note reports each figure as published and does not assert the sum.** No corroborating source located. Read with AC-08 UPDATED October 11, 2026: v17 gives the figures as published ('about flat at 28.1 and 28.4') and no longer says the freestanding rise 'offset' the short-term acute-care decline; it does not state the sum of the components. The 9.06 + 19.5 = 28.6 against 28.4 point is unchanged. Previous wording: 'Total inpatient psychiatric beds across both facility types were essentially flat, 28.1 per 100,000 in 2011 against 28.4 in 2023; freestanding psychiatric hospital beds rose from 16.8 to 19.5, offsetting the short-term acute-care decline'</t>
        </is>
      </c>
      <c r="N235" s="12" t="inlineStr">
        <is>
          <t>single-source — NEEDS VERIFICATION [DL3] Lindenfeld et al., PLoS Medicine, July 2025 is on the decision-log re-check list (change map 'Re-check list', sec. 8): no verification row covers it.</t>
        </is>
      </c>
    </row>
    <row r="236" ht="126.75" customHeight="1" s="10">
      <c r="A236" s="12" t="inlineStr">
        <is>
          <t>6. Access context</t>
        </is>
      </c>
      <c r="B236" s="13" t="inlineStr">
        <is>
          <t>AC-08</t>
        </is>
      </c>
      <c r="C236" s="12" t="inlineStr">
        <is>
          <t>The authors found no statistically significant trend for any type of bed</t>
        </is>
      </c>
      <c r="D236" s="12" t="inlineStr">
        <is>
          <t>third-party estimate (peer-reviewed) [E]</t>
        </is>
      </c>
      <c r="E236" s="12" t="inlineStr">
        <is>
          <t>Lindenfeld et al., *PLoS Medicine*</t>
        </is>
      </c>
      <c r="F236" s="12" t="inlineStr">
        <is>
          <t>Published July 2025; data window 2011-2023; abstract; note sec. 8 (psychiatry bullet; Figure 8 caption)</t>
        </is>
      </c>
      <c r="G236" s="12" t="inlineStr">
        <is>
          <t>Note sec. 8</t>
        </is>
      </c>
      <c r="H236" s="12" t="inlineStr">
        <is>
          <t>Statistical significance of bed trends</t>
        </is>
      </c>
      <c r="I236" s="12" t="inlineStr">
        <is>
          <t>facility type, national</t>
        </is>
      </c>
      <c r="J236" s="12" t="inlineStr">
        <is>
          <t>2011–2023</t>
        </is>
      </c>
      <c r="K236" s="12" t="inlineStr">
        <is>
          <t>n/a</t>
        </is>
      </c>
      <c r="L236" s="12" t="inlineStr">
        <is>
          <t>not scenario-dependent</t>
        </is>
      </c>
      <c r="M236" s="12" t="inlineStr">
        <is>
          <t>Internal: the interval spans zero, so the short-term acute-care decline cited at AC-01 is not distinguishable from no trend at conventional significance. No corroborating source located UPDATED October 11, 2026: v17 states only the non-significance. The average annual percent change of -2.0 and its 95 percent confidence interval of -5.84 to 3.01 for short-term acute-care beds are no longer in the note; they stay true to the abstract as ledgered and are kept as ledger evidence. Previous wording: 'The average annual percent change is not statistically significant for any bed type; for short-term acute-care hospital beds it is −2.0, with a 95 percent confidence interval of −5.84 to 3.01'</t>
        </is>
      </c>
      <c r="N236" s="12" t="inlineStr">
        <is>
          <t>single-source — NEEDS VERIFICATION [DL3] Lindenfeld et al., PLoS Medicine, July 2025 is on the decision-log re-check list (change map 'Re-check list', sec. 8): no verification row covers it.</t>
        </is>
      </c>
    </row>
    <row r="237" ht="137.25" customHeight="1" s="10">
      <c r="A237" s="12" t="inlineStr">
        <is>
          <t>6. Access context</t>
        </is>
      </c>
      <c r="B237" s="13" t="inlineStr">
        <is>
          <t>AC-09</t>
        </is>
      </c>
      <c r="C237" s="12" t="inlineStr">
        <is>
          <t>GAO reported research showing that the number of rural hospitals providing obstetric services fell from 2004 through 2018, and that by 2018 more than half of rural counties had no hospital offering them</t>
        </is>
      </c>
      <c r="D237" s="12" t="inlineStr">
        <is>
          <t>third-party estimate (federal oversight body) [E]</t>
        </is>
      </c>
      <c r="E237" s="12" t="inlineStr">
        <is>
          <t>GAO</t>
        </is>
      </c>
      <c r="F237" s="12" t="inlineStr">
        <is>
          <t>GAO-23-105515, October 2022; note sec. 8 (Obstetrics bullet)</t>
        </is>
      </c>
      <c r="G237" s="12" t="inlineStr">
        <is>
          <t>Note sec. 8 (Obstetrics bullet)</t>
        </is>
      </c>
      <c r="H237" s="12" t="inlineStr">
        <is>
          <t>Count of rural hospitals offering obstetric services, and share of rural counties with no such service</t>
        </is>
      </c>
      <c r="I237" s="12" t="inlineStr">
        <is>
          <t>rural hospitals and rural counties, national</t>
        </is>
      </c>
      <c r="J237" s="12" t="inlineStr">
        <is>
          <t>2004-2018</t>
        </is>
      </c>
      <c r="K237" s="12" t="inlineStr">
        <is>
          <t>n/a</t>
        </is>
      </c>
      <c r="L237" s="12" t="inlineStr">
        <is>
          <t>not scenario-dependent</t>
        </is>
      </c>
      <c r="M237" s="12" t="inlineStr">
        <is>
          <t>GAO is synthesising published research rather than reporting an original count, and the note's verb was corrected to 'reported that research indicates' to match. The underlying studies were not retrieved. Data window ends 2018, seven years before either rule UPDATED October 11, 2026: v17 words the attribution 'GAO reported research showing' and the verb 'fell'; the attribution is unchanged in substance (GAO is synthesising published research, not reporting an original count). Previous wording: 'GAO reported that research indicates the number of rural hospitals providing obstetric services declined from 2004 through 2018, and that by 2018 more than half of rural counties had no hospital offering obstetric services'</t>
        </is>
      </c>
      <c r="N237" s="12" t="inlineStr">
        <is>
          <t>verified with caveat - GAO is reporting others' research, and the window predates both rules — NEEDS VERIFICATION [DL3] GAO-23-105515 is on the decision-log re-check list (change map 'Re-check list', sec. 8): no verification row covers it.</t>
        </is>
      </c>
    </row>
    <row r="238" ht="126.75" customHeight="1" s="10">
      <c r="A238" s="12" t="inlineStr">
        <is>
          <t>6. Access context</t>
        </is>
      </c>
      <c r="B238" s="13" t="inlineStr">
        <is>
          <t>AC-10</t>
        </is>
      </c>
      <c r="C238" s="12" t="inlineStr">
        <is>
          <t>A national study found that pediatric inpatient units fell 29.9 percent and pediatric beds 19.5 percent from 2008 to 2022, against a 4.4 percent decline in adult units</t>
        </is>
      </c>
      <c r="D238" s="12" t="inlineStr">
        <is>
          <t>third-party estimate (peer-reviewed) [E]</t>
        </is>
      </c>
      <c r="E238" s="12" t="inlineStr">
        <is>
          <t>Michelson et al.</t>
        </is>
      </c>
      <c r="F238" s="12" t="inlineStr">
        <is>
          <t>Michelson et al., December 2024; note sec. 8 (Pediatrics bullet; Figure 7 caption)</t>
        </is>
      </c>
      <c r="G238" s="12" t="inlineStr">
        <is>
          <t>Note sec. 8 (Pediatrics bullet)</t>
        </is>
      </c>
      <c r="H238" s="12" t="inlineStr">
        <is>
          <t>Percentage change in pediatric inpatient units and beds, with adult units as the comparison series</t>
        </is>
      </c>
      <c r="I238" s="12" t="inlineStr">
        <is>
          <t>pediatric inpatient units and beds, national</t>
        </is>
      </c>
      <c r="J238" s="12" t="inlineStr">
        <is>
          <t>2008-2022</t>
        </is>
      </c>
      <c r="K238" s="12" t="inlineStr">
        <is>
          <t>n/a</t>
        </is>
      </c>
      <c r="L238" s="12" t="inlineStr">
        <is>
          <t>not scenario-dependent</t>
        </is>
      </c>
      <c r="M238" s="12" t="inlineStr">
        <is>
          <t>Internal: the adult comparison is what makes the pediatric figures a claim about pediatric capacity specifically rather than about inpatient capacity generally. No corroborating source located, and the paper was not retrieved for this ledger. Data window ends 2022, three years before the reconciliation law UPDATED October 11, 2026: v17 words the attribution 'A national study found'; the Figure 7 caption says 'in one national study'. Figures unchanged. Previous wording: 'A national study of pediatric inpatient capacity found units down 29.9 percent and beds down 19.5 percent from 2008 to 2022, against a 4.4 percent decline in adult units over the same period'</t>
        </is>
      </c>
      <c r="N238" s="12" t="inlineStr">
        <is>
          <t>single-source — NEEDS VERIFICATION [DL3] Michelson et al., December 2024 is on the decision-log re-check list (change map 'Re-check list', sec. 8): no verification row covers it.</t>
        </is>
      </c>
    </row>
    <row r="239" ht="116.25" customHeight="1" s="10">
      <c r="A239" s="12" t="inlineStr">
        <is>
          <t>6. Access context</t>
        </is>
      </c>
      <c r="B239" s="13" t="inlineStr">
        <is>
          <t>AC-11</t>
        </is>
      </c>
      <c r="C239" s="12" t="inlineStr">
        <is>
          <t>Psychiatric beds per 100,000 people fell from 11.3 to 9.06 in short-term acute care hospitals between 2011 and 2023</t>
        </is>
      </c>
      <c r="D239" s="12" t="inlineStr">
        <is>
          <t>third-party estimate (peer-reviewed) [E]</t>
        </is>
      </c>
      <c r="E239" s="12" t="inlineStr">
        <is>
          <t>Lindenfeld et al., PLoS Medicine</t>
        </is>
      </c>
      <c r="F239" s="12" t="inlineStr">
        <is>
          <t>Published July 2025; data window 2011-2023; abstract; note sec. 8 (psychiatry bullet)</t>
        </is>
      </c>
      <c r="G239" s="12" t="inlineStr">
        <is>
          <t>Note sec. 8</t>
        </is>
      </c>
      <c r="H239" s="12" t="inlineStr">
        <is>
          <t>Inpatient psychiatric beds per 100,000 population, short-term acute-care hospitals only</t>
        </is>
      </c>
      <c r="I239" s="12" t="inlineStr">
        <is>
          <t>facility type, national</t>
        </is>
      </c>
      <c r="J239" s="12" t="inlineStr">
        <is>
          <t>2011-2023</t>
        </is>
      </c>
      <c r="K239" s="12" t="inlineStr">
        <is>
          <t>n/a</t>
        </is>
      </c>
      <c r="L239" s="12" t="inlineStr">
        <is>
          <t>not scenario-dependent</t>
        </is>
      </c>
      <c r="M239" s="12" t="inlineStr">
        <is>
          <t>This is the series behind the shift in point estimates at AC-14 (the 'migration' reading at AC-12 is superseded), and it is the series whose trend AC-08 shows is not statistically significant. Read with AC-07 and AC-08: the decline is real as a level comparison and not distinguishable from no trend as a rate UPDATED October 11, 2026: v17 gives the series in the psychiatry bullet next to the freestanding series (AC-07), with the no-trend statement (AC-08). Figures unchanged. Previous wording: 'Inpatient psychiatric beds within short-term acute-care hospitals fell from 11.3 to 9.06 per 100,000 population across 2011-2023'</t>
        </is>
      </c>
      <c r="N239" s="12" t="inlineStr">
        <is>
          <t>single-source - and see AC-08, which removes the significance — NEEDS VERIFICATION [DL3] Lindenfeld et al., PLoS Medicine, July 2025 is on the decision-log re-check list (change map 'Re-check list', sec. 8): no verification row covers it.</t>
        </is>
      </c>
    </row>
    <row r="240" ht="168" customHeight="1" s="10">
      <c r="A240" s="12" t="inlineStr">
        <is>
          <t>6. Access context</t>
        </is>
      </c>
      <c r="B240" s="13" t="inlineStr">
        <is>
          <t>AC-12</t>
        </is>
      </c>
      <c r="C240" s="12" t="inlineStr">
        <is>
          <t>Inpatient psychiatric capacity did not disappear over the period; it migrated out of general hospitals, where cross-subsidy within a system operates, into freestanding psychiatric facilities</t>
        </is>
      </c>
      <c r="D240" s="12" t="inlineStr">
        <is>
          <t>contextual - interpretive inference</t>
        </is>
      </c>
      <c r="E240" s="12" t="inlineStr">
        <is>
          <t>[FIRM], from Lindenfeld et al.</t>
        </is>
      </c>
      <c r="F240" s="12" t="inlineStr">
        <is>
          <t>Note sec. 5; AC-07, AC-08, AC-11</t>
        </is>
      </c>
      <c r="G240" s="12" t="inlineStr">
        <is>
          <t>Narrative</t>
        </is>
      </c>
      <c r="H240" s="12" t="inlineStr">
        <is>
          <t>Reading of the two bed series as substitution rather than net loss</t>
        </is>
      </c>
      <c r="I240" s="12" t="inlineStr">
        <is>
          <t>facility type, national</t>
        </is>
      </c>
      <c r="J240" s="12" t="inlineStr">
        <is>
          <t>2011-2023</t>
        </is>
      </c>
      <c r="K240" s="12" t="inlineStr">
        <is>
          <t>n/a</t>
        </is>
      </c>
      <c r="L240" s="12" t="inlineStr">
        <is>
          <t>not scenario-dependent</t>
        </is>
      </c>
      <c r="M240" s="12" t="inlineStr">
        <is>
          <t>SUPERSEDED September 27, 2026. The note no longer says psychiatric capacity 'did not disappear; it migrated'. It now says point estimates shifted from general hospitals toward freestanding psychiatric hospitals, 'though the authors found no statistically significant trend for any bed type', and that for Medicaid adults the shift is not access-neutral, because most freestanding psychiatric hospitals are IMDs. The cross-subsidy clause this row flagged as uncited is gone. Removed or reversed by: the adversarial review cycle (D-14, D-15); the supplied materials do not say which pass. Replaced by: AC-14 and AC-15. Original cross-check, retained for the record: Internal: supported by AC-07's flat total and AC-11's decline, and constrained by AC-08's non-significance - the paper reports no bed type with a statistically significant trend, so the migration is a description of the levels rather than an established trend. The cross-subsidy clause is [FIRM]'s characterization and is not sourced to Lindenfeld</t>
        </is>
      </c>
      <c r="N240" s="12" t="inlineStr">
        <is>
          <t>SUPERSEDED — 'migrated, did not disappear' removed; replaced by AC-14 and AC-15</t>
        </is>
      </c>
    </row>
    <row r="241" ht="189" customHeight="1" s="10">
      <c r="A241" s="12" t="inlineStr">
        <is>
          <t>6. Access context</t>
        </is>
      </c>
      <c r="B241" s="13" t="inlineStr">
        <is>
          <t>AC-13</t>
        </is>
      </c>
      <c r="C241" s="12" t="inlineStr">
        <is>
          <t>Public evidence can identify state financing exposure with reasonable confidence but cannot allocate the aggregate loss to individual hospitals or identify likely closures or service-line reductions; that is a limit on what the data can show, not evidence those outcomes are ruled out, and the missing link is a gap in the data, not in anyone's argument</t>
        </is>
      </c>
      <c r="D241" s="12" t="inlineStr">
        <is>
          <t>contextual - inference</t>
        </is>
      </c>
      <c r="E241" s="12" t="inlineStr">
        <is>
          <t>[FIRM]</t>
        </is>
      </c>
      <c r="F241" s="12" t="inlineStr">
        <is>
          <t>Note Summary of findings</t>
        </is>
      </c>
      <c r="G241" s="12" t="inlineStr">
        <is>
          <t>Note Summary of findings</t>
        </is>
      </c>
      <c r="H241" s="12" t="inlineStr">
        <is>
          <t>What public data can and cannot support</t>
        </is>
      </c>
      <c r="I241" s="12" t="inlineStr">
        <is>
          <t>facility level</t>
        </is>
      </c>
      <c r="J241" s="12" t="inlineStr">
        <is>
          <t>n/a</t>
        </is>
      </c>
      <c r="K241" s="12" t="inlineStr">
        <is>
          <t>n/a</t>
        </is>
      </c>
      <c r="L241" s="12" t="inlineStr">
        <is>
          <t>not scenario-dependent</t>
        </is>
      </c>
      <c r="M241" s="12" t="inlineStr">
        <is>
          <t>SUPERSEDED October 11, 2026. The row cites the 'Summary of findings' and says public evidence can identify state financing exposure with reasonable confidence but cannot allocate the aggregate loss to hospitals or identify closures, and that the missing link is a gap in the data, not in anyone's argument. v17 has no Summary of findings; it says instead that the rules' effect on services cannot be predicted from public data (sec. 8), that no published analysis links SDPs to hospitals (sec. 9, item 9) and that THEIA Services makes no prediction about closures. The 'reasonable confidence' and 'not in anyone's argument' limbs are not made. Removed or reversed by: the revisions between the v9 sync and v17 (the supplied decision log and change map do not identify which revision removed the Summary of findings). Replaced by: AC-03 and NC-01. Original cross-check, retained for the record: Supported by NC-01, NC-02 and NC-03, each of which blocks the step from state exposure to facility impact, and by AC-03. Same point as the last durable finding at D.2</t>
        </is>
      </c>
      <c r="N241" s="12" t="inlineStr">
        <is>
          <t>SUPERSEDED — public-evidence limit is no longer a note claim; narrower statement at AC-03</t>
        </is>
      </c>
    </row>
    <row r="242" ht="189" customHeight="1" s="10">
      <c r="A242" s="12" t="inlineStr">
        <is>
          <t>6. Access context</t>
        </is>
      </c>
      <c r="B242" s="13" t="inlineStr">
        <is>
          <t>AC-14</t>
        </is>
      </c>
      <c r="C242" s="12" t="inlineStr">
        <is>
          <t>The direction of the psychiatric estimates matters for adult Medicaid patients, because most freestanding psychiatric hospitals are institutions for mental diseases (IMDs), where federal Medicaid payment for adults aged 21 to 64 is restricted</t>
        </is>
      </c>
      <c r="D242" s="12" t="inlineStr">
        <is>
          <t>third-party estimate + interpretive inference [I]</t>
        </is>
      </c>
      <c r="E242" s="12" t="inlineStr">
        <is>
          <t>Lindenfeld et al., PLoS Medicine; [FIRM]</t>
        </is>
      </c>
      <c r="F242" s="12" t="inlineStr">
        <is>
          <t>Note sec. 8 (IMD paragraph); App. B ('Draft note, institutions for mental diseases'); Lindenfeld et al., PLoS Medicine, July 2025</t>
        </is>
      </c>
      <c r="G242" s="12" t="inlineStr">
        <is>
          <t>Note sec. 8</t>
        </is>
      </c>
      <c r="H242" s="12" t="inlineStr">
        <is>
          <t>Reading of the two bed series, and its Medicaid consequence</t>
        </is>
      </c>
      <c r="I242" s="12" t="inlineStr">
        <is>
          <t>facility type, national</t>
        </is>
      </c>
      <c r="J242" s="12" t="inlineStr">
        <is>
          <t>2011–2023</t>
        </is>
      </c>
      <c r="K242" s="12" t="inlineStr">
        <is>
          <t>n/a</t>
        </is>
      </c>
      <c r="L242" s="12" t="inlineStr">
        <is>
          <t>not scenario-dependent</t>
        </is>
      </c>
      <c r="M242" s="12" t="inlineStr">
        <is>
          <t>Shift limb supported by AC-07 and AC-11 and constrained by AC-08. The claim that most freestanding psychiatric hospitals are IMDs is uncited in the note. IMD limb at AC-15. Replaces AC-12 UPDATED October 11, 2026: v17 no longer says point estimates 'shifted from general hospitals toward freestanding psychiatric hospitals'; the two series are stated in the psychiatry bullet (AC-07, AC-11) with the no-trend statement (AC-08). The IMD sentence is tagged [I], and App. B says 'That most freestanding psychiatric hospitals are IMDs, and the exception for certain demonstrations (sec. 8), are not yet sourced.' The IMD definition and the exclusion are sourced (AC-15, AC-17). Previous wording: 'Point estimates shifted from general hospitals toward freestanding psychiatric hospitals, though the authors found no statistically significant trend for any bed type. For Medicaid adults that shift is not access-neutral: most freestanding psychiatric hospitals are institutions for mental diseases, where federal Medicaid payment for adults aged 21 to 64 is restricted'</t>
        </is>
      </c>
      <c r="N242" s="12" t="inlineStr">
        <is>
          <t>unresolved — 'most freestanding psychiatric hospitals are IMDs' is tagged [I] and App. B says it is not yet sourced — NEEDS VERIFICATION [DL3] A source for 'most freestanding psychiatric hospitals are institutions for mental diseases' is on the 'citation to add after verification' list (change map, v2 list item 8; decision log, review item 4-8).</t>
        </is>
      </c>
    </row>
    <row r="243" ht="157.5" customHeight="1" s="10">
      <c r="A243" s="12" t="inlineStr">
        <is>
          <t>6. Access context</t>
        </is>
      </c>
      <c r="B243" s="13" t="inlineStr">
        <is>
          <t>AC-15</t>
        </is>
      </c>
      <c r="C243" s="12" t="inlineStr">
        <is>
          <t>The restriction on federal Medicaid payment for IMD patients long predates both rules (Social Security Act § 1905(a)); the managed care exception for enrollees aged 21-64 is at 42 CFR 438.6(e); the note also refers to an exception for certain demonstrations</t>
        </is>
      </c>
      <c r="D243" s="12" t="inlineStr">
        <is>
          <t>rule mechanic - context [E]</t>
        </is>
      </c>
      <c r="E243" s="12" t="inlineStr">
        <is>
          <t>Social Security Act § 1905(a); 42 CFR 438.6(e)</t>
        </is>
      </c>
      <c r="F243" s="12" t="inlineStr">
        <is>
          <t>Note sec. 8 (IMD paragraph); App. B ('Draft note, institutions for mental diseases')</t>
        </is>
      </c>
      <c r="G243" s="12" t="inlineStr">
        <is>
          <t>Note sec. 8; App. B</t>
        </is>
      </c>
      <c r="H243" s="12" t="inlineStr">
        <is>
          <t>Pre-existing federal payment restriction</t>
        </is>
      </c>
      <c r="I243" s="12" t="inlineStr">
        <is>
          <t>Medicaid adults 21–64</t>
        </is>
      </c>
      <c r="J243" s="12" t="inlineStr">
        <is>
          <t>pre-dates both rules</t>
        </is>
      </c>
      <c r="K243" s="12" t="inlineStr">
        <is>
          <t>n/a</t>
        </is>
      </c>
      <c r="L243" s="12" t="inlineStr">
        <is>
          <t>not scenario-dependent</t>
        </is>
      </c>
      <c r="M243" s="12" t="inlineStr">
        <is>
          <t>The note cites no source for this sentence. The provisions named in the citation column are the ledger's identification, offered as a citation the author may add; they were not re-read for this ledger UPDATED October 11, 2026: v17 now cites the exclusion (§ 1905(a)) and the managed care exception (42 CFR 438.6(e)), where the earlier row recorded the note as uncited. The Citation check confirms § 1905(a) (closing text, clause (B)) and § 1905(i), and 42 CFR 438.6(e) ('an enrollee aged 21-64'). The exception for 'certain demonstrations' is tagged [I] in the body and App. B says it is not yet sourced. The ledger's earlier suggested citations for section 1115 demonstrations were not re-read. Previous wording: 'The IMD exclusion is a long-standing limit that predates both rules, with exceptions for managed care and certain demonstrations'</t>
        </is>
      </c>
      <c r="N243" s="12" t="inlineStr">
        <is>
          <t>verified with caveat — exclusion and managed care exception confirmed by the Citation check; the 'certain demonstrations' exception is not yet sourced — NEEDS VERIFICATION [DL3] A source for the IMD exclusion's exception for 'certain demonstrations' is on the 'citation to add after verification' list (change map, v2 list item 9; decision log, review item 4-8).</t>
        </is>
      </c>
    </row>
    <row r="244" ht="189" customHeight="1" s="10">
      <c r="A244" s="12" t="inlineStr">
        <is>
          <t>6. Access context</t>
        </is>
      </c>
      <c r="B244" s="13" t="inlineStr">
        <is>
          <t>AC-16</t>
        </is>
      </c>
      <c r="C244" s="12" t="inlineStr">
        <is>
          <t>Rural hospitals' longer grandfathering window does not exempt them from the phase-down, which still runs from 2028 like other hospitals'; and where the cap defaults to the state plan rate, SDP room above base payments may be little or none</t>
        </is>
      </c>
      <c r="D244" s="12" t="inlineStr">
        <is>
          <t>derived reading - conditional [E]/[I]</t>
        </is>
      </c>
      <c r="E244" s="12" t="inlineStr">
        <is>
          <t>RM-03, RM-16, RM-18</t>
        </is>
      </c>
      <c r="F244" s="12" t="inlineStr">
        <is>
          <t>Note sec. 8 ('Rural hospitals have more time, not immunity'); sec. 7, step 1</t>
        </is>
      </c>
      <c r="G244" s="12" t="inlineStr">
        <is>
          <t>Note sec. 8, rural subsection</t>
        </is>
      </c>
      <c r="H244" s="12" t="inlineStr">
        <is>
          <t>Consequence of the mechanics for rural and cost-reimbursed facilities</t>
        </is>
      </c>
      <c r="I244" s="12" t="inlineStr">
        <is>
          <t>facility class</t>
        </is>
      </c>
      <c r="J244" s="12" t="inlineStr">
        <is>
          <t>FFY2028 onward</t>
        </is>
      </c>
      <c r="K244" s="12" t="inlineStr">
        <is>
          <t>n/a</t>
        </is>
      </c>
      <c r="L244" s="12" t="inlineStr">
        <is>
          <t>conditional</t>
        </is>
      </c>
      <c r="M244" s="12" t="inlineStr">
        <is>
          <t>Internal: follows from RM-03, RM-16 and RM-18, each single-source. The 'small or zero' limb is conditional: where the SDP ceiling equals the State plan rate and base payments are at that rate, no room remains above base. Replaces AC-04 UPDATED October 11, 2026: v17 states the phase-down limb as [E] (RM-16: 'their grandfathered payments still phase down from 2028 like other hospitals') and the default-to-plan-rate limb as [I] ('which may leave little or no room for SDPs above base rates'), citing 91 FR 30450 for the default (RM-18, flagged there). It no longer says a defaulted limit 'could be more restrictive, not merely more uncertain'. The 10 percentage points a year is stated in sec. 7, step 1 and at RM-03. Previous wording: 'A more generous grandfathering window delays the phase-down rather than removing it; the phase-down still runs at 10 percentage points a year from FFY2028; and where the limit defaults to the State plan rate, SDP room above base payments may be small or zero, which could be more restrictive, not merely more uncertain'</t>
        </is>
      </c>
      <c r="N244" s="12" t="inlineStr">
        <is>
          <t>verified - inherits the single-source status of its inputs</t>
        </is>
      </c>
    </row>
    <row r="245" ht="84.75" customHeight="1" s="10">
      <c r="A245" s="12" t="inlineStr">
        <is>
          <t>6. Access context</t>
        </is>
      </c>
      <c r="B245" s="13" t="inlineStr">
        <is>
          <t>AC-17</t>
        </is>
      </c>
      <c r="C245" s="12" t="inlineStr">
        <is>
          <t>Institutions for mental diseases (IMDs) are facilities of more than 16 beds primarily caring for people with mental diseases; the payment restriction for patients under 65 is in § 1905(a) of the Social Security Act</t>
        </is>
      </c>
      <c r="D245" s="12" t="inlineStr">
        <is>
          <t>rule mechanic - definition [E]</t>
        </is>
      </c>
      <c r="E245" s="12" t="inlineStr">
        <is>
          <t>Social Security Act § 1905(i), § 1905(a)</t>
        </is>
      </c>
      <c r="F245" s="12" t="inlineStr">
        <is>
          <t>Note App. B ('Draft note, institutions for mental diseases'); sec. 8</t>
        </is>
      </c>
      <c r="G245" s="12" t="inlineStr">
        <is>
          <t>Note App. B</t>
        </is>
      </c>
      <c r="H245" s="12" t="inlineStr">
        <is>
          <t>Definition of an IMD and location of the payment restriction</t>
        </is>
      </c>
      <c r="I245" s="12" t="inlineStr">
        <is>
          <t>federal Medicaid</t>
        </is>
      </c>
      <c r="J245" s="12" t="inlineStr">
        <is>
          <t>pre-dates both rules</t>
        </is>
      </c>
      <c r="K245" s="12" t="inlineStr">
        <is>
          <t>n/a</t>
        </is>
      </c>
      <c r="L245" s="12" t="inlineStr">
        <is>
          <t>not scenario-dependent</t>
        </is>
      </c>
      <c r="M245" s="12" t="inlineStr">
        <is>
          <t>Citation check: § 1905(i) defines the term (more than 16 beds, primarily mental-disease care); § 1905(a) excludes 'any individual who has not attained 65 years of age and who is a patient in an institution for mental diseases', with an under-21 exception in § 1905(a)(16). Body text (sec. 8) says 'adults aged 21 to 64', which is consistent with the statute's under-65 exclusion once the under-21 exception is applied. Moved to App. B in v17 (change map T38).</t>
        </is>
      </c>
      <c r="N245" s="12" t="inlineStr">
        <is>
          <t>verified — Citation check, § 1905(a) and (i)</t>
        </is>
      </c>
    </row>
    <row r="246" ht="178.5" customHeight="1" s="10">
      <c r="A246" s="12" t="inlineStr">
        <is>
          <t>7. Negative claims</t>
        </is>
      </c>
      <c r="B246" s="13" t="inlineStr">
        <is>
          <t>NC-01</t>
        </is>
      </c>
      <c r="C246" s="12" t="inlineStr">
        <is>
          <t>THEIA Services found no public source that links SDPs to the hospitals that receive them</t>
        </is>
      </c>
      <c r="D246" s="12" t="inlineStr">
        <is>
          <t>negative claim [I]</t>
        </is>
      </c>
      <c r="E246" s="12" t="inlineStr">
        <is>
          <t>See C-1</t>
        </is>
      </c>
      <c r="F246" s="12" t="inlineStr">
        <is>
          <t>Note sec. 9, item 9; App. C (the facility-level limit)</t>
        </is>
      </c>
      <c r="G246" s="12" t="inlineStr">
        <is>
          <t>Note sec. 9, item 9: 'Any published analysis linking SDPs to the hospitals that receive them; THEIA Services found no public source that makes that link.'</t>
        </is>
      </c>
      <c r="H246" s="12" t="inlineStr">
        <is>
          <t>Absence of an arrangement-to-facility mapping</t>
        </is>
      </c>
      <c r="I246" s="12" t="inlineStr">
        <is>
          <t>national</t>
        </is>
      </c>
      <c r="J246" s="12" t="inlineStr">
        <is>
          <t>as of Sept 6, 2026</t>
        </is>
      </c>
      <c r="K246" s="12" t="inlineStr">
        <is>
          <t>n/a</t>
        </is>
      </c>
      <c r="L246" s="12" t="inlineStr">
        <is>
          <t>not scenario-dependent</t>
        </is>
      </c>
      <c r="M246" s="12" t="inlineStr">
        <is>
          <t>none located — this is the single binding constraint on facility-level estimation UPDATED September 27, 2026: claim reworded to the note's current text; the note now states the scoped form recommended at C-1 ('We located no...'). Previous wording: 'No nationally standardized public dataset links any SDP to a receiving facility' UPDATED October 11, 2026: v17 words the negative as 'no public source that makes that link' and tags it [I]. That is broader than the scoped form recommended at C-1 ('We located no nationally standardized public dataset linking any SDP to a receiving facility'): it drops 'nationally standardized' and 'dataset'. The search behind it is unchanged (C-1), so the claim is now wider than the search record supports. Sec. 6 'gap 1' no longer exists; the gap sits in App. C's outline ('the five data gaps, including the facility-level limit'). Previous wording: 'We located no nationally standardized public dataset linking any SDP to a receiving facility'</t>
        </is>
      </c>
      <c r="N246" s="12" t="inlineStr">
        <is>
          <t>verified as scoped (C-1) — v17 wording is broader than C-1's scope</t>
        </is>
      </c>
    </row>
    <row r="247" ht="147.75" customHeight="1" s="10">
      <c r="A247" s="12" t="inlineStr">
        <is>
          <t>7. Negative claims</t>
        </is>
      </c>
      <c r="B247" s="13" t="inlineStr">
        <is>
          <t>NC-02</t>
        </is>
      </c>
      <c r="C247" s="12" t="inlineStr">
        <is>
          <t>A hospital's own records hold the two figures public data lack: its SDP receipts and its provider tax and IGT payments</t>
        </is>
      </c>
      <c r="D247" s="12" t="inlineStr">
        <is>
          <t>negative claim [I]</t>
        </is>
      </c>
      <c r="E247" s="12" t="inlineStr">
        <is>
          <t>See C-2</t>
        </is>
      </c>
      <c r="F247" s="12" t="inlineStr">
        <is>
          <t>Note sec. 7 (opening paragraph); App. C (outline: the five data gaps)</t>
        </is>
      </c>
      <c r="G247" s="12" t="inlineStr">
        <is>
          <t>Note sec. 7</t>
        </is>
      </c>
      <c r="H247" s="12" t="inlineStr">
        <is>
          <t>Absence of facility-level tax incidence data</t>
        </is>
      </c>
      <c r="I247" s="12" t="inlineStr">
        <is>
          <t>national</t>
        </is>
      </c>
      <c r="J247" s="12" t="inlineStr">
        <is>
          <t>as of Sept 6, 2026</t>
        </is>
      </c>
      <c r="K247" s="12" t="inlineStr">
        <is>
          <t>n/a</t>
        </is>
      </c>
      <c r="L247" s="12" t="inlineStr">
        <is>
          <t>not scenario-dependent</t>
        </is>
      </c>
      <c r="M247" s="12" t="inlineStr">
        <is>
          <t>none located. Consequence: the net provider figure is a payment reduction minus a tax reduction, and neither term is observable per facility UPDATED October 11, 2026: v17 does not state the earlier negative as such ('No nationally standardized public dataset of per-facility provider tax payments was located'); sec. 7 says a hospital's own records hold what public data lack (CE-79), which carries the same limit. Sec. 6 'gap 2' is gone; the App. C outline commits to 'the five data gaps' without listing them (NC-19). Retained, with the claim reworded to what v17 says; the C-2 search record is unchanged. The consequence for the net provider figure is as before. Previous wording: 'No nationally standardized public dataset of per-facility provider tax payments was located'</t>
        </is>
      </c>
      <c r="N247" s="12" t="inlineStr">
        <is>
          <t>verified as scoped (C-2)</t>
        </is>
      </c>
    </row>
    <row r="248" ht="147.75" customHeight="1" s="10">
      <c r="A248" s="12" t="inlineStr">
        <is>
          <t>7. Negative claims</t>
        </is>
      </c>
      <c r="B248" s="13" t="inlineStr">
        <is>
          <t>NC-03</t>
        </is>
      </c>
      <c r="C248" s="12" t="inlineStr">
        <is>
          <t>No standardized public source permitting independent verification of CMS's commercial-to-Medicare ratios was located; public commercial price sources do exist, notably hospital price transparency files and RAND's employer-plan hospital price studies, and neither was searched</t>
        </is>
      </c>
      <c r="D248" s="12" t="inlineStr">
        <is>
          <t>negative claim</t>
        </is>
      </c>
      <c r="E248" s="12" t="inlineStr">
        <is>
          <t>See C-3</t>
        </is>
      </c>
      <c r="F248" s="12" t="inlineStr">
        <is>
          <t>Note sec. 6, gap 3</t>
        </is>
      </c>
      <c r="G248" s="12" t="inlineStr">
        <is>
          <t>Absence</t>
        </is>
      </c>
      <c r="H248" s="12" t="inlineStr">
        <is>
          <t>Absence of a source for checking CMS's price ratio assumptions</t>
        </is>
      </c>
      <c r="I248" s="12" t="inlineStr">
        <is>
          <t>national</t>
        </is>
      </c>
      <c r="J248" s="12" t="inlineStr">
        <is>
          <t>as of Sept 6, 2026</t>
        </is>
      </c>
      <c r="K248" s="12" t="inlineStr">
        <is>
          <t>n/a</t>
        </is>
      </c>
      <c r="L248" s="12" t="inlineStr">
        <is>
          <t>not scenario-dependent</t>
        </is>
      </c>
      <c r="M248" s="12" t="inlineStr">
        <is>
          <t>none located within what was searched. TIGHTENED: C-3 flagged the earlier wording as the weakest of the gap claims because it read as a claim that no public commercial price data exist. The note now names the unsearched sources in its own text, including that RAND's work is the basis for KFF's own commercial-to-Medicare conversion, so the claim is scoped on its face. Consequence unchanged: CE-26's ratios, which drive a 2.4x scenario spread, were not independently checked here UPDATED October 11, 2026: v17 does not state this negative. It states no check of CMS's commercial-to-Medicare ratios and does not mention RAND or hospital price transparency files; the ratios appear in App. D (CE-26). Retained because the App. C outline still commits to 'the five data gaps', which are not listed (NC-19). Sec. 6 'gap 3' no longer exists.</t>
        </is>
      </c>
      <c r="N248" s="12" t="inlineStr">
        <is>
          <t>verified as scoped (C-3) - wording tightened; the unsearched sources are now named in the note</t>
        </is>
      </c>
    </row>
    <row r="249" ht="126.75" customHeight="1" s="10">
      <c r="A249" s="12" t="inlineStr">
        <is>
          <t>7. Negative claims</t>
        </is>
      </c>
      <c r="B249" s="13" t="inlineStr">
        <is>
          <t>NC-04</t>
        </is>
      </c>
      <c r="C249" s="12" t="inlineStr">
        <is>
          <t>THEIA Services found no independent derivation of $681 billion before September 2, 2026</t>
        </is>
      </c>
      <c r="D249" s="12" t="inlineStr">
        <is>
          <t>negative claim [I]</t>
        </is>
      </c>
      <c r="E249" s="12" t="inlineStr">
        <is>
          <t>See C-4</t>
        </is>
      </c>
      <c r="F249" s="12" t="inlineStr">
        <is>
          <t>Note sec. 5 (POLITICO subsection, last sentence); App. G</t>
        </is>
      </c>
      <c r="G249" s="12" t="inlineStr">
        <is>
          <t>Note sec. 5</t>
        </is>
      </c>
      <c r="H249" s="12" t="inlineStr">
        <is>
          <t>Absence of an independent derivation</t>
        </is>
      </c>
      <c r="I249" s="12" t="inlineStr">
        <is>
          <t>sources searched before Sept 6, 2026 (C-4), plus the full text of every comment posted on regulations.gov for both rules as of October 7, 2026 (NC-17)</t>
        </is>
      </c>
      <c r="J249" s="12" t="inlineStr">
        <is>
          <t>before Sept 2, 2026 (note); comment records through October 7, 2026 (App. G)</t>
        </is>
      </c>
      <c r="K249" s="12" t="inlineStr">
        <is>
          <t>n/a</t>
        </is>
      </c>
      <c r="L249" s="12" t="inlineStr">
        <is>
          <t>not scenario-dependent</t>
        </is>
      </c>
      <c r="M249" s="12" t="inlineStr">
        <is>
          <t>none located. Re-scoped Sept 22, 2026 (M-1): the note's sec. 3b now states the extended scope, and nothing in it contains the figure (C-4). Closing-day letters not yet posted were not reviewed UPDATED October 11, 2026: v17 states the finding as THEIA Services' search result [I] and no longer says 'no hospital-association model produced it'. The CMS-2452-P record is no longer scoped to 28 posted comments and seven letters: App. G reports the full posted record as of October 7, 2026, and the closing-day batch noted as pending is partly posted (four of six letters, NC-17). Same finding as SB-11. Previous wording: 'No published methodology supporting the $681B was located, and no hospital-association model produced it'</t>
        </is>
      </c>
      <c r="N249" s="12" t="inlineStr">
        <is>
          <t>verified as scoped (C-4) — scope extended to the full posted record (NC-17); two of the six September 21 letters remain unlocated</t>
        </is>
      </c>
    </row>
    <row r="250" ht="157.5" customHeight="1" s="10">
      <c r="A250" s="12" t="inlineStr">
        <is>
          <t>7. Negative claims</t>
        </is>
      </c>
      <c r="B250" s="13" t="inlineStr">
        <is>
          <t>NC-05</t>
        </is>
      </c>
      <c r="C250" s="12" t="inlineStr">
        <is>
          <t>As of Sept 22, 2026, no filed litigation challenging either proposed rule was located; two bills introduced in July 2025 would repeal the underlying statutory sections — S. 2279 (Sections 71115 and 71116) and H.R. 4807 (Section 71115) — and neither has advanced beyond committee referral; opposition to the rules themselves consists of comment letters</t>
        </is>
      </c>
      <c r="D250" s="12" t="inlineStr">
        <is>
          <t>negative claim + contextual</t>
        </is>
      </c>
      <c r="E250" s="12" t="inlineStr">
        <is>
          <t>See C-5</t>
        </is>
      </c>
      <c r="F250" s="12" t="inlineStr">
        <is>
          <t>Note sec. 7, item 11</t>
        </is>
      </c>
      <c r="G250" s="12" t="inlineStr">
        <is>
          <t>Absence (litigation); bill status (legislation)</t>
        </is>
      </c>
      <c r="H250" s="12" t="inlineStr">
        <is>
          <t>Absence of a formal legal challenge to either rule; status of repeal bills aimed at the statute</t>
        </is>
      </c>
      <c r="I250" s="12" t="inlineStr">
        <is>
          <t>two dockets, trade coverage, congress.gov</t>
        </is>
      </c>
      <c r="J250" s="12" t="inlineStr">
        <is>
          <t>as of Sept 22, 2026</t>
        </is>
      </c>
      <c r="K250" s="12" t="inlineStr">
        <is>
          <t>n/a</t>
        </is>
      </c>
      <c r="L250" s="12" t="inlineStr">
        <is>
          <t>not scenario-dependent</t>
        </is>
      </c>
      <c r="M250" s="12" t="inlineStr">
        <is>
          <t>SUPERSEDED September 27, 2026. The row says opposition to the rules 'consists of comment letters'. The note's sec. 7 item 11 (formerly item 8) now says 'The formal opposition we located is in comment letters; press reports describe hospitals lobbying against the rules as well (POLITICO, September 2, 2026)'. Removed or reversed by: the revisions since the September 22, 2026 sync (four revisions, ending at v9); the supplied materials do not identify which of the four. Replaced by: NC-15 and TP-28. Original cross-check, retained for the record: Sept 22, 2026 currency check: congress.gov confirms both bills, their scope (H.R. 4807 covers Sec. 71115 only) and their committee-referral status. Replaces the Sept 5 wording, which located no introduced legislation specific to either rulemaking; the two bills target the underlying statute rather than either rule. Adjacent litigation, Fifth Circuit No. 25-40766, concerns earlier CMS provisions and bulletins, not either proposed rule; monitored at M-8</t>
        </is>
      </c>
      <c r="N250" s="12" t="inlineStr">
        <is>
          <t>SUPERSEDED — opposition limb broadened; replaced by NC-15 and TP-28</t>
        </is>
      </c>
    </row>
    <row r="251" ht="116.25" customHeight="1" s="10">
      <c r="A251" s="12" t="inlineStr">
        <is>
          <t>7. Negative claims</t>
        </is>
      </c>
      <c r="B251" s="13" t="inlineStr">
        <is>
          <t>NC-06</t>
        </is>
      </c>
      <c r="C251" s="12" t="inlineStr">
        <is>
          <t>Neither RIN appeared on OIRA's review list</t>
        </is>
      </c>
      <c r="D251" s="12" t="inlineStr">
        <is>
          <t>negative claim</t>
        </is>
      </c>
      <c r="E251" s="12" t="inlineStr">
        <is>
          <t>See C-6</t>
        </is>
      </c>
      <c r="F251" s="12" t="inlineStr">
        <is>
          <t>Note status box; note sec. 1 (Sept 5 check)</t>
        </is>
      </c>
      <c r="G251" s="12" t="inlineStr">
        <is>
          <t>Absence</t>
        </is>
      </c>
      <c r="H251" s="12" t="inlineStr">
        <is>
          <t>Regulatory review status</t>
        </is>
      </c>
      <c r="I251" s="12" t="inlineStr">
        <is>
          <t>both RINs: 0938-AV69 (CMS-2449-P) and 0938-AV93 (CMS-2452-P)</t>
        </is>
      </c>
      <c r="J251" s="12" t="inlineStr">
        <is>
          <t>as of Sept 21, 2026</t>
        </is>
      </c>
      <c r="K251" s="12" t="inlineStr">
        <is>
          <t>n/a</t>
        </is>
      </c>
      <c r="L251" s="12" t="inlineStr">
        <is>
          <t>not scenario-dependent</t>
        </is>
      </c>
      <c r="M251" s="12" t="inlineStr">
        <is>
          <t>Re-dated from Sept 5 to Sept 21, 2026 in the Sept 22 currency check; AV69 confirmed on reginfo.gov. See RM-10 UPDATED October 11, 2026: v17 states no OIRA review-list status for either RIN. Sec. 9 item 3 describes only what an arrival for review would signal, and the App. I heading ('Status as of [DATE]: White House review, CMS-2450, comment periods and counts, HFMA contact') has no text under it. The September 21, 2026 check is stale against the October 2026 draft and is not restated in the note. See RM-10.</t>
        </is>
      </c>
      <c r="N251" s="12" t="inlineStr">
        <is>
          <t>verified as scoped (C-6) — perishable; no longer stated in the note — NEEDS VERIFICATION [DL3] reginfo.gov and the White House review status are on the decision-log re-check list (sec. 9 items 3-4; App. I); re-run the OIRA list check at the date the note fills in.</t>
        </is>
      </c>
    </row>
    <row r="252" ht="116.25" customHeight="1" s="10">
      <c r="A252" s="12" t="inlineStr">
        <is>
          <t>7. Negative claims</t>
        </is>
      </c>
      <c r="B252" s="13" t="inlineStr">
        <is>
          <t>NC-07</t>
        </is>
      </c>
      <c r="C252" s="12" t="inlineStr">
        <is>
          <t>CMS's figures cover all providers, with no separate hospital figure: for the SDP rule CMS says it cannot attribute the impacts by provider type, and for the provider tax rule it expects the largest decreases to fall on hospitals</t>
        </is>
      </c>
      <c r="D252" s="12" t="inlineStr">
        <is>
          <t>negative claim [E]</t>
        </is>
      </c>
      <c r="E252" s="12" t="inlineStr">
        <is>
          <t>CMS-2449-P; CMS-2452-P</t>
        </is>
      </c>
      <c r="F252" s="12" t="inlineStr">
        <is>
          <t>Note sec. 4 (last paragraph); Executive summary; 91 FR 30462; 91 FR 46591</t>
        </is>
      </c>
      <c r="G252" s="12" t="inlineStr">
        <is>
          <t>Note sec. 4</t>
        </is>
      </c>
      <c r="H252" s="12" t="inlineStr">
        <is>
          <t>Absence of a hospital-specific row</t>
        </is>
      </c>
      <c r="I252" s="12" t="inlineStr">
        <is>
          <t>both RIAs</t>
        </is>
      </c>
      <c r="J252" s="12" t="inlineStr">
        <is>
          <t>as of Sept 6, 2026</t>
        </is>
      </c>
      <c r="K252" s="12" t="inlineStr">
        <is>
          <t>n/a</t>
        </is>
      </c>
      <c r="L252" s="12" t="inlineStr">
        <is>
          <t>not scenario-dependent</t>
        </is>
      </c>
      <c r="M252" s="12" t="inlineStr">
        <is>
          <t>none located. This is why the $21.7B cannot be read as a hospital result UPDATED October 11, 2026: v17 states this as CMS's own statements, tagged [E], rather than as the absence of a table, and cites 91 FR 30462 and 91 FR 46591 (the 91 FR 30462 reading is confirmed by verification F-012 at CE-63; the 91 FR 46591 pinpoint at CE-64 is the one read in the new-text check). The table-level absence (no hospital row in either RIA) is no longer separately asserted. It is still why the $21.7B cannot be read as a hospital result. Previous wording: 'No published CMS table isolates a hospital line within the provider aggregate'</t>
        </is>
      </c>
      <c r="N252" s="12" t="inlineStr">
        <is>
          <t>verified as scoped (C-7)</t>
        </is>
      </c>
    </row>
    <row r="253" ht="84.75" customHeight="1" s="10">
      <c r="A253" s="12" t="inlineStr">
        <is>
          <t>7. Negative claims</t>
        </is>
      </c>
      <c r="B253" s="13" t="inlineStr">
        <is>
          <t>NC-08</t>
        </is>
      </c>
      <c r="C253" s="12" t="inlineStr">
        <is>
          <t>THEIA Services found $56.6 billion in neither rule</t>
        </is>
      </c>
      <c r="D253" s="12" t="inlineStr">
        <is>
          <t>negative claim [I]</t>
        </is>
      </c>
      <c r="E253" s="12" t="inlineStr">
        <is>
          <t>See C-8</t>
        </is>
      </c>
      <c r="F253" s="12" t="inlineStr">
        <is>
          <t>Both RIAs; reconciliation worksheet; note sec. 5 (HFMA subsection)</t>
        </is>
      </c>
      <c r="G253" s="12" t="inlineStr">
        <is>
          <t>Note sec. 5</t>
        </is>
      </c>
      <c r="H253" s="12" t="inlineStr">
        <is>
          <t>Absence of the figure from the primary record</t>
        </is>
      </c>
      <c r="I253" s="12" t="inlineStr">
        <is>
          <t>both RIAs</t>
        </is>
      </c>
      <c r="J253" s="12" t="inlineStr">
        <is>
          <t>as of Sept 6, 2026</t>
        </is>
      </c>
      <c r="K253" s="12" t="inlineStr">
        <is>
          <t>n/a</t>
        </is>
      </c>
      <c r="L253" s="12" t="inlineStr">
        <is>
          <t>not scenario-dependent</t>
        </is>
      </c>
      <c r="M253" s="12" t="inlineStr">
        <is>
          <t>RE-VERIFIED: the worksheet is now available and contains no instance of 56.6 in any cell of any sheet. See TP-07 UPDATED October 11, 2026: v17 states the negative as THEIA Services' search result [I] and no longer refers to the worksheet's coverage. The worksheet re-check (all six sheets, no cell containing 56.6) stands as the evidence. Same finding as TP-07. Previous wording: 'The $56.6B appears in neither RIA nor the reconciliation worksheet'</t>
        </is>
      </c>
      <c r="N253" s="12" t="inlineStr">
        <is>
          <t>verified as scoped (C-8) - re-checked against the worksheet</t>
        </is>
      </c>
    </row>
    <row r="254" ht="241.5" customHeight="1" s="10">
      <c r="A254" s="12" t="inlineStr">
        <is>
          <t>7. Negative claims</t>
        </is>
      </c>
      <c r="B254" s="13" t="inlineStr">
        <is>
          <t>NC-09</t>
        </is>
      </c>
      <c r="C254" s="12" t="inlineStr">
        <is>
          <t>THEIA Services found no multi-state estimate that subtracts lower provider taxes from payment cuts for both rules over the same years; at least one state hospital association (the Texas Hospital Association, in 2025) has published paired gross and net figures</t>
        </is>
      </c>
      <c r="D254" s="12" t="inlineStr">
        <is>
          <t>negative claim [E]/[I]</t>
        </is>
      </c>
      <c r="E254" s="12" t="inlineStr">
        <is>
          <t>See C-9</t>
        </is>
      </c>
      <c r="F254" s="12" t="inlineStr">
        <is>
          <t>Note sec. 9, item 10; App. F ('Draft note, who nets provider taxes')</t>
        </is>
      </c>
      <c r="G254" s="12" t="inlineStr">
        <is>
          <t>Note sec. 9, item 10</t>
        </is>
      </c>
      <c r="H254" s="12" t="inlineStr">
        <is>
          <t>Absence of a consistent multi-state net estimate</t>
        </is>
      </c>
      <c r="I254" s="12" t="inlineStr">
        <is>
          <t>national</t>
        </is>
      </c>
      <c r="J254" s="12" t="inlineStr">
        <is>
          <t>as of Sept 6, 2026 for the sector survey; as of Sept 22, 2026 for the CMS-2452-P record</t>
        </is>
      </c>
      <c r="K254" s="12" t="inlineStr">
        <is>
          <t>n/a</t>
        </is>
      </c>
      <c r="L254" s="12" t="inlineStr">
        <is>
          <t>not scenario-dependent</t>
        </is>
      </c>
      <c r="M254" s="12" t="inlineStr">
        <is>
          <t>The Texas Hospital Association's paired figures are the located single-state instance. Re-scoped Sept 22, 2026 (M-1): none of the 28 posted CMS-2452-P comments and none of the seven Sept 21 letters located on submitters' own sites contains a multi-state net-of-tax estimate (C-9). Closing-day letters not yet posted were not reviewed UPDATED September 27, 2026: the note's sec. 7 item 9 makes no claim about the CMS-2452-P docket, and the note now says posted comments were reviewed only for the $681 billion figure; the docket re-scope above is ledger-only context UPDATED October 11, 2026: v17 moves the item from 9 to 10 and states the multi-state negative as [I] and the Texas instance as [E]. The earlier update line, that the note 'now says posted comments were reviewed only for the $681 billion figure', is reversed: App. C says the provider tax rule's full posted record (214 as filed / 213 corrected) 'has now been read for the figures and claims in sec. 5, not only for the $681 billion' (RM-34). Whether that reading looked for a multi-state net estimate is not stated; the C-9 re-scope (28 comments, seven letters) is out of date against the October 7 snapshot. Previous wording: 'No consistent multi-state net-of-tax estimate covering both mechanisms exists; paired gross and net figures exist for at least one state'</t>
        </is>
      </c>
      <c r="N254" s="12" t="inlineStr">
        <is>
          <t>verified as scoped (C-9) — the posted record has since grown to 214 / 213 comments; the multi-state search was not re-run on it</t>
        </is>
      </c>
    </row>
    <row r="255" ht="189" customHeight="1" s="10">
      <c r="A255" s="12" t="inlineStr">
        <is>
          <t>7. Negative claims</t>
        </is>
      </c>
      <c r="B255" s="13" t="inlineStr">
        <is>
          <t>NC-10</t>
        </is>
      </c>
      <c r="C255" s="12" t="inlineStr">
        <is>
          <t>We located no public document reconciling the figures POLITICO assembled; that gap is what the note tries to fill</t>
        </is>
      </c>
      <c r="D255" s="12" t="inlineStr">
        <is>
          <t>negative claim</t>
        </is>
      </c>
      <c r="E255" s="12" t="inlineStr">
        <is>
          <t>See C-10</t>
        </is>
      </c>
      <c r="F255" s="12" t="inlineStr">
        <is>
          <t>Note sec. 3b</t>
        </is>
      </c>
      <c r="G255" s="12" t="inlineStr">
        <is>
          <t>Absence</t>
        </is>
      </c>
      <c r="H255" s="12" t="inlineStr">
        <is>
          <t>Absence of a reconciling document</t>
        </is>
      </c>
      <c r="I255" s="12" t="inlineStr">
        <is>
          <t>national</t>
        </is>
      </c>
      <c r="J255" s="12" t="inlineStr">
        <is>
          <t>as of Sept 6, 2026</t>
        </is>
      </c>
      <c r="K255" s="12" t="inlineStr">
        <is>
          <t>n/a</t>
        </is>
      </c>
      <c r="L255" s="12" t="inlineStr">
        <is>
          <t>not scenario-dependent</t>
        </is>
      </c>
      <c r="M255" s="12" t="inlineStr">
        <is>
          <t>SUPERSEDED October 11, 2026. The row says no public document reconciling the figures POLITICO assembled was located, and that the note tries to fill that gap. v17 no longer states that gap or describes the note as filling it. Sec. 5 instead reconciles POLITICO's inputs to CMS's tables and to CBO's, and the Executive summary says THEIA Services found no published estimate of the combined net loss (NC-21). Removed or reversed by: the revisions between the v9 sync and v17 (the supplied decision log and change map do not identify which revision removed the sentence). Replaced by: NC-21. Original cross-check, retained for the record: The note's own existence is offered as the response to this gap; the claim is self-referential and should be read as scoped to the sources searched UPDATED September 27, 2026: claim reworded to the note's current text; the note now states the scoped form recommended at C-10. Previous wording: 'No public document reconciles the figures POLITICO assembled, which is the note's stated subject'</t>
        </is>
      </c>
      <c r="N255" s="12" t="inlineStr">
        <is>
          <t>SUPERSEDED — POLITICO-reconciliation gap is no longer a note claim; replaced by NC-21</t>
        </is>
      </c>
    </row>
    <row r="256" ht="189" customHeight="1" s="10">
      <c r="A256" s="12" t="inlineStr">
        <is>
          <t>7. Negative claims</t>
        </is>
      </c>
      <c r="B256" s="13" t="inlineStr">
        <is>
          <t>NC-11</t>
        </is>
      </c>
      <c r="C256" s="12" t="inlineStr">
        <is>
          <t>The CBO inputs do not appear in the reconciliation worksheet, which covers only the two RIAs</t>
        </is>
      </c>
      <c r="D256" s="12" t="inlineStr">
        <is>
          <t>negative claim</t>
        </is>
      </c>
      <c r="E256" s="12" t="inlineStr">
        <is>
          <t>Worksheet coverage</t>
        </is>
      </c>
      <c r="F256" s="12" t="inlineStr">
        <is>
          <t>Note sec. 1</t>
        </is>
      </c>
      <c r="G256" s="12" t="inlineStr">
        <is>
          <t>Absence</t>
        </is>
      </c>
      <c r="H256" s="12" t="inlineStr">
        <is>
          <t>Scope limit of the worksheet</t>
        </is>
      </c>
      <c r="I256" s="12" t="inlineStr">
        <is>
          <t>worksheet only</t>
        </is>
      </c>
      <c r="J256" s="12" t="inlineStr">
        <is>
          <t>n/a</t>
        </is>
      </c>
      <c r="K256" s="12" t="inlineStr">
        <is>
          <t>n/a</t>
        </is>
      </c>
      <c r="L256" s="12" t="inlineStr">
        <is>
          <t>not scenario-dependent</t>
        </is>
      </c>
      <c r="M256" s="12" t="inlineStr">
        <is>
          <t>SUPERSEDED September 27, 2026. The note no longer states that the CBO inputs are absent from the reconciliation worksheet; sec. 1 now cites CBO's figures to CRS R48633 without reference to the worksheet. The finding remains true of the worksheet and is kept as ledger evidence, but it is no longer a note claim. Removed or reversed by: the revisions since the September 22, 2026 sync (four revisions, ending at v9); the supplied materials do not identify which of the four. Replaced by: none (removed, not reversed). Original cross-check, retained for the record: RE-VERIFIED: the worksheet's README states its scope as the Regulatory Impact Analysis of each of the two rules, and a full-text search returns no instance of CBO, of 149.4, or of the $340B outlay figure. The $191.1B outlay and $8.4B revenue figures added to note sec. 1 on Sept 22, 2026 were not separately searched; the worksheet's stated RIA-only scope excludes them by construction. The numeral 182.7 does appear in the worksheet, at R0603, as CMS-2452-P Table 9's total, a different measure (CE-28). The worksheet covers only the two RIAs, as the note states</t>
        </is>
      </c>
      <c r="N256" s="12" t="inlineStr">
        <is>
          <t>SUPERSEDED — no longer a note claim; no replacement row</t>
        </is>
      </c>
    </row>
    <row r="257" ht="252" customHeight="1" s="10">
      <c r="A257" s="12" t="inlineStr">
        <is>
          <t>7. Negative claims</t>
        </is>
      </c>
      <c r="B257" s="13" t="inlineStr">
        <is>
          <t>NC-12</t>
        </is>
      </c>
      <c r="C257" s="12" t="inlineStr">
        <is>
          <t>THEIA Services does not assess whether rural hospitals are less able to absorb these changes; the studies cited track services, not hospital finances</t>
        </is>
      </c>
      <c r="D257" s="12" t="inlineStr">
        <is>
          <t>negative claim [I]</t>
        </is>
      </c>
      <c r="E257" s="12" t="inlineStr">
        <is>
          <t>See C-12 for full scope</t>
        </is>
      </c>
      <c r="F257" s="12" t="inlineStr">
        <is>
          <t>Note sec. 8 (rural subsection, last sentence); GAO-23-105515; Michelson et al., December 2024; Lindenfeld et al., PLoS Medicine, July 2025</t>
        </is>
      </c>
      <c r="G257" s="12" t="inlineStr">
        <is>
          <t>Note sec. 8</t>
        </is>
      </c>
      <c r="H257" s="12" t="inlineStr">
        <is>
          <t>Absence of support in the cited evidence base for a comparative claim about rural facility financial capacity</t>
        </is>
      </c>
      <c r="I257" s="12" t="inlineStr">
        <is>
          <t>the three cited sources only, not the literature</t>
        </is>
      </c>
      <c r="J257" s="12" t="inlineStr">
        <is>
          <t>as of Sept 6, 2026</t>
        </is>
      </c>
      <c r="K257" s="12" t="inlineStr">
        <is>
          <t>n/a</t>
        </is>
      </c>
      <c r="L257" s="12" t="inlineStr">
        <is>
          <t>not scenario-dependent</t>
        </is>
      </c>
      <c r="M257" s="12" t="inlineStr">
        <is>
          <t>Re-checked against the three sources as characterized at AC-09, AC-10, AC-11: each measures service-line capacity - obstetric service availability, pediatric units and beds, psychiatric beds by facility type - and none reports margins, payer mix or financial cushion, rural or otherwise. This row replaces AC-05, which asserted the rural cushion proposition with no citation; the note now asserts its absence from the cited base instead. Scoped at C-12 UPDATED September 27, 2026: claim reworded to the note's current text; the note's rural paragraph was reworded; the scope is unchanged: three cited sources, none measuring finances. Previous wording: 'Whether rural facilities as a group have less capacity to absorb disruption is often assumed but is not established by the three sources cited in section 5, which document service-line capacity trends rather than facility finances or payer mix, and no other source is cited for that comparison' UPDATED October 11, 2026: v17 words the limit as the note's own choice ('does not assess') and keeps the finding that the cited studies track services, not finances. The scope is unchanged: three cited sources, none measuring finances (AC-09, AC-10, AC-11). Previous wording: 'This note does not assess whether rural hospitals are financially less able to absorb these changes; the studies it cites track services, not margins or payer mix'</t>
        </is>
      </c>
      <c r="N257" s="12" t="inlineStr">
        <is>
          <t>verified as scoped (C-12) - a claim about the cited sources, not about the literature</t>
        </is>
      </c>
    </row>
    <row r="258" ht="147.75" customHeight="1" s="10">
      <c r="A258" s="12" t="inlineStr">
        <is>
          <t>7. Negative claims</t>
        </is>
      </c>
      <c r="B258" s="13" t="inlineStr">
        <is>
          <t>NC-13</t>
        </is>
      </c>
      <c r="C258" s="12" t="inlineStr">
        <is>
          <t>The measurement discipline that would resolve most of the confusion sits across six sources, and the note found no place where it has been assembled</t>
        </is>
      </c>
      <c r="D258" s="12" t="inlineStr">
        <is>
          <t>negative claim</t>
        </is>
      </c>
      <c r="E258" s="12" t="inlineStr">
        <is>
          <t>See C-10</t>
        </is>
      </c>
      <c r="F258" s="12" t="inlineStr">
        <is>
          <t>Note sec. 3c</t>
        </is>
      </c>
      <c r="G258" s="12" t="inlineStr">
        <is>
          <t>Absence</t>
        </is>
      </c>
      <c r="H258" s="12" t="inlineStr">
        <is>
          <t>Absence of an assembled treatment</t>
        </is>
      </c>
      <c r="I258" s="12" t="inlineStr">
        <is>
          <t>the six named sources and the sector survey</t>
        </is>
      </c>
      <c r="J258" s="12" t="inlineStr">
        <is>
          <t>as of the note's date</t>
        </is>
      </c>
      <c r="K258" s="12" t="inlineStr">
        <is>
          <t>n/a</t>
        </is>
      </c>
      <c r="L258" s="12" t="inlineStr">
        <is>
          <t>not scenario-dependent</t>
        </is>
      </c>
      <c r="M258" s="12" t="inlineStr">
        <is>
          <t>SUPERSEDED October 11, 2026. The row says the measurement discipline that would resolve most of the confusion sits across six sources and the note found no place where it has been assembled. v17 has no sec. 3c and no sector-survey claim of this kind; its Executive summary says the outside estimates examined (HFMA, KFF, POLITICO) each measure something narrower or on a different basis. Removed or reversed by: the revisions between the v9 sync and v17 (the supplied decision log and change map do not identify which revision removed the section). Replaced by: none (removed, not reversed). Original cross-check, retained for the record: The six are CMS's RIA, FAH, THA, HFMA, Georgetown CCF and KFF (sec. 3c; TP-21, TP-17, TP-27). Formerly 'at least seven sources' (B-4). Scoped to the survey, as at C-10</t>
        </is>
      </c>
      <c r="N258" s="12" t="inlineStr">
        <is>
          <t>SUPERSEDED — six-source measurement-discipline negative is no longer a note claim; no replacement row</t>
        </is>
      </c>
    </row>
    <row r="259" ht="137.25" customHeight="1" s="10">
      <c r="A259" s="12" t="inlineStr">
        <is>
          <t>7. Negative claims</t>
        </is>
      </c>
      <c r="B259" s="13" t="inlineStr">
        <is>
          <t>NC-14</t>
        </is>
      </c>
      <c r="C259" s="12" t="inlineStr">
        <is>
          <t>Of the six data gaps between state exposure and facility impact, none rates fully available: SDP-to-facility linkage and per-facility tax payments None; CMS's price ratios Not assessed; state thresholds None until 2028; hospital SDP rate detail Partial (~51% imputed); the provider tax rule's comment record Partial (reviewed only for the $681B figure)</t>
        </is>
      </c>
      <c r="D259" s="12" t="inlineStr">
        <is>
          <t>negative claim - summary</t>
        </is>
      </c>
      <c r="E259" s="12" t="inlineStr">
        <is>
          <t>See C-1, C-2, C-3, C-11</t>
        </is>
      </c>
      <c r="F259" s="12" t="inlineStr">
        <is>
          <t>Note sec. 6, gap table</t>
        </is>
      </c>
      <c r="G259" s="12" t="inlineStr">
        <is>
          <t>Gap table</t>
        </is>
      </c>
      <c r="H259" s="12" t="inlineStr">
        <is>
          <t>Status of each data need</t>
        </is>
      </c>
      <c r="I259" s="12" t="inlineStr">
        <is>
          <t>national</t>
        </is>
      </c>
      <c r="J259" s="12" t="inlineStr">
        <is>
          <t>as of Sept 22, 2026</t>
        </is>
      </c>
      <c r="K259" s="12" t="inlineStr">
        <is>
          <t>n/a</t>
        </is>
      </c>
      <c r="L259" s="12" t="inlineStr">
        <is>
          <t>not scenario-dependent</t>
        </is>
      </c>
      <c r="M259" s="12" t="inlineStr">
        <is>
          <t>SUPERSEDED October 11, 2026. The row summarises the sec. 6 gap table of six data gaps and their statuses (None; Not assessed; None until 2028; Partial). v17 has no sec. 6 gap table. App. C is outlined as 'the five data gaps', not six, and the statuses are not restated. The v3 ledger's six-gap table and the App. C outline's 'five data gaps' disagree on the count. Removed or reversed by: the revisions between the v9 sync and v17 (the supplied decision log and change map do not identify which revision removed the table). Replaced by: NC-19. Original cross-check, retained for the record: Each status corresponds to NC-01, NC-02, NC-03, RM-19, SE-15 and RM-22. The table note that RAND and price-transparency files 'may exist but were not searched' matches NC-03</t>
        </is>
      </c>
      <c r="N259" s="12" t="inlineStr">
        <is>
          <t>SUPERSEDED — six-gap table is no longer in the note; replaced by NC-19</t>
        </is>
      </c>
    </row>
    <row r="260" ht="189" customHeight="1" s="10">
      <c r="A260" s="12" t="inlineStr">
        <is>
          <t>7. Negative claims</t>
        </is>
      </c>
      <c r="B260" s="13" t="inlineStr">
        <is>
          <t>NC-15</t>
        </is>
      </c>
      <c r="C260" s="12" t="inlineStr">
        <is>
          <t>As of September 22, 2026, THEIA Services located no lawsuit challenging either rule. Two July 2025 bills to repeal the underlying provisions, S. 2279 (Sections 71115 and 71116) and H.R. 4807 (Section 71115), had not advanced beyond committee referral</t>
        </is>
      </c>
      <c r="D260" s="12" t="inlineStr">
        <is>
          <t>negative claim + contextual [I]/[E]</t>
        </is>
      </c>
      <c r="E260" s="12" t="inlineStr">
        <is>
          <t>See C-5; POLITICO</t>
        </is>
      </c>
      <c r="F260" s="12" t="inlineStr">
        <is>
          <t>Note sec. 9, item 7; App. I ('Draft note, dates and bills'); congress.gov</t>
        </is>
      </c>
      <c r="G260" s="12" t="inlineStr">
        <is>
          <t>Note sec. 9, item 7; App. I</t>
        </is>
      </c>
      <c r="H260" s="12" t="inlineStr">
        <is>
          <t>Legal and legislative challenge status</t>
        </is>
      </c>
      <c r="I260" s="12" t="inlineStr">
        <is>
          <t>two dockets, trade coverage, congress.gov</t>
        </is>
      </c>
      <c r="J260" s="12" t="inlineStr">
        <is>
          <t>as of Sept 22, 2026</t>
        </is>
      </c>
      <c r="K260" s="12" t="inlineStr">
        <is>
          <t>n/a</t>
        </is>
      </c>
      <c r="L260" s="12" t="inlineStr">
        <is>
          <t>not scenario-dependent</t>
        </is>
      </c>
      <c r="M260" s="12" t="inlineStr">
        <is>
          <t>Litigation and bill limbs as re-checked Sept 22, 2026 (NC-05, C-5). The lobbying limb rests on TP-28. Replaces NC-05, which said opposition 'consists of comment letters' UPDATED October 11, 2026: v17 drops the opposition limb: it no longer says the formal opposition located 'is in comment letters' or that press reports describe hospitals lobbying (TP-28 is superseded). The litigation limb is tagged [I] and the bill limb [E]; the bill numbers and scope are in App. I. Both limbs are dated September 22, 2026 and are perishable; the October 7, 2026 comment review adds that no comment reports a filed suit (NC-20). Previous wording: 'As of Sept 22, 2026, no filed litigation challenging either proposed rule was located. Two bills introduced in July 2025 would repeal the underlying statutory sections, S. 2279 (Sections 71115 and 71116) and H.R. 4807 (Section 71115), and neither has advanced beyond committee referral. The formal opposition located is in comment letters; press reports describe hospitals lobbying against the rules as well'</t>
        </is>
      </c>
      <c r="N260" s="12" t="inlineStr">
        <is>
          <t>verified as scoped (C-5) — perishable; opposition limb no longer a note claim — NEEDS VERIFICATION [DL3] S. 2279, H.R. 4807, their committee-referral status and the 'as of September 22, 2026' date are on the decision-log re-check list (sec. 9 item 7; App. I); no source in the files supports a later date.</t>
        </is>
      </c>
    </row>
    <row r="261" ht="63.75" customHeight="1" s="10">
      <c r="A261" s="12" t="inlineStr">
        <is>
          <t>7. Negative claims</t>
        </is>
      </c>
      <c r="B261" s="13" t="inlineStr">
        <is>
          <t>NC-16</t>
        </is>
      </c>
      <c r="C261" s="12" t="inlineStr">
        <is>
          <t>THEIA Services found no separate estimate of what the provider tax rule adds to Section 71115</t>
        </is>
      </c>
      <c r="D261" s="12" t="inlineStr">
        <is>
          <t>negative claim [I]</t>
        </is>
      </c>
      <c r="E261" s="12" t="inlineStr">
        <is>
          <t>THEIA Services search</t>
        </is>
      </c>
      <c r="F261" s="12" t="inlineStr">
        <is>
          <t>Note sec. 3 (first paragraph)</t>
        </is>
      </c>
      <c r="G261" s="12" t="inlineStr">
        <is>
          <t>Note sec. 3</t>
        </is>
      </c>
      <c r="H261" s="12" t="inlineStr">
        <is>
          <t>Absence of an estimate separating the rule's effect from the statute's</t>
        </is>
      </c>
      <c r="I261" s="12" t="inlineStr">
        <is>
          <t>CMS-2452-P RIA; national</t>
        </is>
      </c>
      <c r="J261" s="12" t="inlineStr">
        <is>
          <t>as of the note's date</t>
        </is>
      </c>
      <c r="K261" s="12" t="inlineStr">
        <is>
          <t>n/a</t>
        </is>
      </c>
      <c r="L261" s="12" t="inlineStr">
        <is>
          <t>not scenario-dependent</t>
        </is>
      </c>
      <c r="M261" s="12" t="inlineStr">
        <is>
          <t>Replaces the v9 statement that neither rule separates what the statute requires from what CMS added (CE-43): v17 says the SDP rule prices Section 71116 and its extension separately (CE-56) and states this negative for the provider tax rule only. The ledger and verification files record no search for it beyond the baseline checks at CE-43 (D-16, worksheet).</t>
        </is>
      </c>
      <c r="N261" s="12" t="inlineStr">
        <is>
          <t>single-source — THEIA Services' search result; no search record in the verification files</t>
        </is>
      </c>
    </row>
    <row r="262" ht="137.25" customHeight="1" s="10">
      <c r="A262" s="12" t="inlineStr">
        <is>
          <t>7. Negative claims</t>
        </is>
      </c>
      <c r="B262" s="13" t="inlineStr">
        <is>
          <t>NC-17</t>
        </is>
      </c>
      <c r="C262" s="12" t="inlineStr">
        <is>
          <t>The full text of every comment posted on regulations.gov for both rules as of October 7, 2026, attachments and scanned text included, holds one use of $681 billion, an individual's, which restates POLITICO's $681 billion as a hospital loss with no source or derivation (comment CMS-2026-2476-0079). Of six September 21, 2026 letters earlier not located, four are now posted (comments CMS-2026-2476-0148, -0116, -0109 and -0057, from the Children's Hospital Association, the National Association of Medicaid Directors, the Texas Hospital Association and the California Hospital Association); THEIA Services found the figure in none of them and found no letters from MACPAC, the Illinois Health and Hospital Association or the Illinois Attorney General in the posted docket</t>
        </is>
      </c>
      <c r="D262" s="12" t="inlineStr">
        <is>
          <t>negative claim [E]/[I]</t>
        </is>
      </c>
      <c r="E262" s="12" t="inlineStr">
        <is>
          <t>regulations.gov v4 API; comment texts</t>
        </is>
      </c>
      <c r="F262" s="12" t="inlineStr">
        <is>
          <t>Note App. G ('Draft note, comment records'); comments CMS-2026-2476-0079, -0148, -0116, -0109, -0057</t>
        </is>
      </c>
      <c r="G262" s="12" t="inlineStr">
        <is>
          <t>Note App. G</t>
        </is>
      </c>
      <c r="H262" s="12" t="inlineStr">
        <is>
          <t>Whether the $681 billion appears in the posted comment records, and which September 21 letters are now posted</t>
        </is>
      </c>
      <c r="I262" s="12" t="inlineStr">
        <is>
          <t>both dockets, snapshot October 7, 2026; one comment, one distinct text, in both docket views</t>
        </is>
      </c>
      <c r="J262" s="12" t="inlineStr">
        <is>
          <t>snapshot October 7, 2026</t>
        </is>
      </c>
      <c r="K262" s="12" t="inlineStr">
        <is>
          <t>n/a</t>
        </is>
      </c>
      <c r="L262" s="12" t="inlineStr">
        <is>
          <t>not scenario-dependent</t>
        </is>
      </c>
      <c r="M262" s="12" t="inlineStr">
        <is>
          <t>Limits stated in App. G: the record is a snapshot; text search of scanned pages can miss figures printed as images; letters published only on submitters' sites are not in the docket; letters were matched by organization name. Replaces the C-4 scope (28 posted comments and seven letters on submitters' own sites; RM-22, NC-04). The comment-analyst output was not re-run in the verification files. The first sentence is tagged [E] and the 'found in none of them' limb [I] in v17.</t>
        </is>
      </c>
      <c r="N262" s="12" t="inlineStr">
        <is>
          <t>single-source — comment-analyst search; not covered by the verification files — NEEDS VERIFICATION [DL4] Comment IDs CMS-2026-2476-0079, -0148, -0116, -0109 and -0057 are on the 'citation to add after verification' list (change map, v2 list item 7: F-014, F-002); v17 now cites them.</t>
        </is>
      </c>
    </row>
    <row r="263" ht="63.75" customHeight="1" s="10">
      <c r="A263" s="12" t="inlineStr">
        <is>
          <t>7. Negative claims</t>
        </is>
      </c>
      <c r="B263" s="13" t="inlineStr">
        <is>
          <t>NC-18</t>
        </is>
      </c>
      <c r="C263" s="12" t="inlineStr">
        <is>
          <t>THEIA Services located no current public source of SDP financing in dollars by source and by state, or showing how states will fund SDPs going forward; the most recent state-by-state dollar figures cover 2022 (GAO-24-106202, Table 4)</t>
        </is>
      </c>
      <c r="D263" s="12" t="inlineStr">
        <is>
          <t>negative claim [I]/[E]</t>
        </is>
      </c>
      <c r="E263" s="12" t="inlineStr">
        <is>
          <t>THEIA Services search; GAO</t>
        </is>
      </c>
      <c r="F263" s="12" t="inlineStr">
        <is>
          <t>Note sec. 2 (last paragraph); Executive summary (floor paragraph); sec. 4 (step 3 gap)</t>
        </is>
      </c>
      <c r="G263" s="12" t="inlineStr">
        <is>
          <t>Note sec. 2: 'THEIA Services located no current public source of SDP financing in dollars by source and by state'</t>
        </is>
      </c>
      <c r="H263" s="12" t="inlineStr">
        <is>
          <t>Absence of a source for the funding split behind the $264.7B step 3 ceiling</t>
        </is>
      </c>
      <c r="I263" s="12" t="inlineStr">
        <is>
          <t>national and state level</t>
        </is>
      </c>
      <c r="J263" s="12" t="inlineStr">
        <is>
          <t>as of the note's date</t>
        </is>
      </c>
      <c r="K263" s="12" t="inlineStr">
        <is>
          <t>n/a</t>
        </is>
      </c>
      <c r="L263" s="12" t="inlineStr">
        <is>
          <t>not scenario-dependent</t>
        </is>
      </c>
      <c r="M263" s="12" t="inlineStr">
        <is>
          <t>This is the gap that makes the $488B-$753B range a range ('how much of the state share of SDPs providers fund themselves, which THEIA Services found in no public source'; CE-41). The 2022 GAO figures are ledgered at TP-30 (flagged there). CMS's 402-SDP financing shares (CE-80) are shares of arrangements, not dollars by state.</t>
        </is>
      </c>
      <c r="N263" s="12" t="inlineStr">
        <is>
          <t>single-source — THEIA Services' search result; GAO-24-106202 Table 4 not re-read (TP-30)</t>
        </is>
      </c>
    </row>
    <row r="264" ht="63.75" customHeight="1" s="10">
      <c r="A264" s="12" t="inlineStr">
        <is>
          <t>7. Negative claims</t>
        </is>
      </c>
      <c r="B264" s="13" t="inlineStr">
        <is>
          <t>NC-19</t>
        </is>
      </c>
      <c r="C264" s="12" t="inlineStr">
        <is>
          <t>Appendix C is outlined as covering the five data gaps, including the facility-level limit; what the SDP preprint reports about financing (Section VI: sources by checkbox, IGT dollars by entity, no provider tax dollars); GAO-24-106202 Table 4; and MACPAC's 2024 program counts</t>
        </is>
      </c>
      <c r="D264" s="12" t="inlineStr">
        <is>
          <t>negative claim - summary [I]</t>
        </is>
      </c>
      <c r="E264" s="12" t="inlineStr">
        <is>
          <t>Note App. C (outline)</t>
        </is>
      </c>
      <c r="F264" s="12" t="inlineStr">
        <is>
          <t>Note App. C</t>
        </is>
      </c>
      <c r="G264" s="12" t="inlineStr">
        <is>
          <t>Note App. C outline: 'Limits of the analysis and the five data gaps, including the facility-level limit'</t>
        </is>
      </c>
      <c r="H264" s="12" t="inlineStr">
        <is>
          <t>Status of each data need</t>
        </is>
      </c>
      <c r="I264" s="12" t="inlineStr">
        <is>
          <t>national</t>
        </is>
      </c>
      <c r="J264" s="12" t="inlineStr">
        <is>
          <t>as of the note's date</t>
        </is>
      </c>
      <c r="K264" s="12" t="inlineStr">
        <is>
          <t>n/a</t>
        </is>
      </c>
      <c r="L264" s="12" t="inlineStr">
        <is>
          <t>not scenario-dependent</t>
        </is>
      </c>
      <c r="M264" s="12" t="inlineStr">
        <is>
          <t>The outline does not list the five gaps, so they cannot be matched to NC rows. Candidates in the ledger: NC-01 (facility link), NC-02 (per-facility tax payments), NC-03 (price ratios, if retained), NC-18 (SDP financing in dollars). The preprint's Section VI fields are at RM-45 and GAO-24-106202 Table 4 at TP-30. Replaces the six-gap table at NC-14.</t>
        </is>
      </c>
      <c r="N264" s="12" t="inlineStr">
        <is>
          <t>unresolved — outline only; the five gaps are not listed in v17</t>
        </is>
      </c>
    </row>
    <row r="265" ht="42.75" customHeight="1" s="10">
      <c r="A265" s="12" t="inlineStr">
        <is>
          <t>7. Negative claims</t>
        </is>
      </c>
      <c r="B265" s="13" t="inlineStr">
        <is>
          <t>NC-20</t>
        </is>
      </c>
      <c r="C265" s="12" t="inlineStr">
        <is>
          <t>No comment reports a filed suit against either rule</t>
        </is>
      </c>
      <c r="D265" s="12" t="inlineStr">
        <is>
          <t>negative claim [I]</t>
        </is>
      </c>
      <c r="E265" s="12" t="inlineStr">
        <is>
          <t>regulations.gov comment records</t>
        </is>
      </c>
      <c r="F265" s="12" t="inlineStr">
        <is>
          <t>Note App. I ('Draft note, the legal record')</t>
        </is>
      </c>
      <c r="G265" s="12" t="inlineStr">
        <is>
          <t>Note App. I</t>
        </is>
      </c>
      <c r="H265" s="12" t="inlineStr">
        <is>
          <t>Absence of a reported lawsuit in the comment records</t>
        </is>
      </c>
      <c r="I265" s="12" t="inlineStr">
        <is>
          <t>both dockets, snapshot October 7, 2026</t>
        </is>
      </c>
      <c r="J265" s="12" t="inlineStr">
        <is>
          <t>snapshot October 7, 2026</t>
        </is>
      </c>
      <c r="K265" s="12" t="inlineStr">
        <is>
          <t>n/a</t>
        </is>
      </c>
      <c r="L265" s="12" t="inlineStr">
        <is>
          <t>not scenario-dependent</t>
        </is>
      </c>
      <c r="M265" s="12" t="inlineStr">
        <is>
          <t>Keyword-based; the Loper Bright counts it accompanies are at TP-40. Complements NC-15, whose litigation limb rests on trade coverage and docket searches as of September 22, 2026. Comment-analyst output; not re-run in the verification files.</t>
        </is>
      </c>
      <c r="N265" s="12" t="inlineStr">
        <is>
          <t>single-source — comment-analyst keyword search; approximate</t>
        </is>
      </c>
    </row>
    <row r="266" ht="74.25" customHeight="1" s="10">
      <c r="A266" s="12" t="inlineStr">
        <is>
          <t>7. Negative claims</t>
        </is>
      </c>
      <c r="B266" s="13" t="inlineStr">
        <is>
          <t>NC-21</t>
        </is>
      </c>
      <c r="C266" s="12" t="inlineStr">
        <is>
          <t>THEIA Services found no published estimate of the combined net loss to providers from the two rules</t>
        </is>
      </c>
      <c r="D266" s="12" t="inlineStr">
        <is>
          <t>negative claim [I]</t>
        </is>
      </c>
      <c r="E266" s="12" t="inlineStr">
        <is>
          <t>THEIA Services search</t>
        </is>
      </c>
      <c r="F266" s="12" t="inlineStr">
        <is>
          <t>Note Executive summary (second paragraph); sec. 4</t>
        </is>
      </c>
      <c r="G266" s="12" t="inlineStr">
        <is>
          <t>Note Executive summary</t>
        </is>
      </c>
      <c r="H266" s="12" t="inlineStr">
        <is>
          <t>Absence of a published combined estimate</t>
        </is>
      </c>
      <c r="I266" s="12" t="inlineStr">
        <is>
          <t>national</t>
        </is>
      </c>
      <c r="J266" s="12" t="inlineStr">
        <is>
          <t>as of the note's date</t>
        </is>
      </c>
      <c r="K266" s="12" t="inlineStr">
        <is>
          <t>n/a</t>
        </is>
      </c>
      <c r="L266" s="12" t="inlineStr">
        <is>
          <t>not scenario-dependent</t>
        </is>
      </c>
      <c r="M266" s="12" t="inlineStr">
        <is>
          <t>Paired with CMS's own statement, tagged [E], that the two rules together would on net still cut provider payments significantly over time (91 FR 46593), which gives no combined figure (F-011). The outside estimates examined each measure something narrower or on a different basis (TP rows for HFMA, KFF, POLITICO). Replaces the NC-10 gap claim. No search record beyond the sector survey recorded at C-9 and C-10.</t>
        </is>
      </c>
      <c r="N266" s="12" t="inlineStr">
        <is>
          <t>single-source — THEIA Services' search result</t>
        </is>
      </c>
    </row>
    <row r="267" ht="199.5" customHeight="1" s="10">
      <c r="A267" s="12" t="inlineStr">
        <is>
          <t>8. Figures</t>
        </is>
      </c>
      <c r="B267" s="13" t="inlineStr">
        <is>
          <t>FG-01</t>
        </is>
      </c>
      <c r="C267" s="12" t="inlineStr">
        <is>
          <t>Figure 1. "CMS counts $241.9 billion of the same payment cuts in both rules' estimates." Values: SDP rule $774.8B ($510.1B federal, $264.7B state); provider tax rule standalone $384.0B ($245.8B federal, $138.2B state); already counted $241.9B ($154.9B federal, $87.0B state); combined, overlap-adjusted $916.9B = $774.8B + $384.0B - $241.9B</t>
        </is>
      </c>
      <c r="D267" s="12" t="inlineStr">
        <is>
          <t>figure</t>
        </is>
      </c>
      <c r="E267" s="12" t="inlineStr">
        <is>
          <t>Both RIAs</t>
        </is>
      </c>
      <c r="F267" s="12" t="inlineStr">
        <is>
          <t>Note sec. 2 ([Figure 1] caption); source line as ledgered: "Tables 18-20 (91 FR 30451-52); Table 11 (91 FR 46591); 91 FR 46592."</t>
        </is>
      </c>
      <c r="G267" s="12" t="inlineStr">
        <is>
          <t>Note [Figure 1] caption</t>
        </is>
      </c>
      <c r="H267" s="12" t="inlineStr">
        <is>
          <t>Overlap between the two rules' Medicaid spending reductions</t>
        </is>
      </c>
      <c r="I267" s="12" t="inlineStr">
        <is>
          <t>total computable</t>
        </is>
      </c>
      <c r="J267" s="12" t="inlineStr">
        <is>
          <t>FY2026–2035</t>
        </is>
      </c>
      <c r="K267" s="12" t="inlineStr">
        <is>
          <t>real 2026 dollars</t>
        </is>
      </c>
      <c r="L267" s="12" t="inlineStr">
        <is>
          <t>primary</t>
        </is>
      </c>
      <c r="M267" s="12" t="inlineStr">
        <is>
          <t>Every value ledgered: CE-01, CE-02, CE-03, CE-07, CE-14, CE-15, CE-38. Internal: 774.8 + 384.0 − 241.9 = 916.9. The figure's note that both RIAs measure against a baseline without the 2025 law matches CE-43 UPDATED October 11, 2026: v17 carries only the caption text; the figure artwork (title, subtitle, source line, plotted values) was not supplied, so the values and source line are as ledgered for the earlier figure and were not re-checked against v17's artwork. The caption now reads 'CMS counts $241.9 billion of the same payment cuts in both rules' estimates' (earlier title: 'The two rules' savings overlap by $241.9B.'). The change map lists the placeholders as unchanged by design. Every value is ledgered in Section A (CE-01, CE-02, CE-03, CE-07, CE-14, CE-15, CE-38). Previous wording: 'Figure 1. "The two rules' savings overlap by $241.9B." Values: SDP rule $774.8B ($510.1B federal, $264.7B state); provider tax rule standalone $384.0B ($245.8B federal, $138.2B state); already counted $241.9B ($154.9B federal, $87.0B state); combined, overlap-adjusted $916.9B = $774.8B + $384.0B − $241.9B'</t>
        </is>
      </c>
      <c r="N267" s="12" t="inlineStr">
        <is>
          <t>verified with caveat — caption only in v17; artwork not supplied, so plotted values not re-checked</t>
        </is>
      </c>
    </row>
    <row r="268" ht="189" customHeight="1" s="10">
      <c r="A268" s="12" t="inlineStr">
        <is>
          <t>8. Figures</t>
        </is>
      </c>
      <c r="B268" s="13" t="inlineStr">
        <is>
          <t>FG-02</t>
        </is>
      </c>
      <c r="C268" s="12" t="inlineStr">
        <is>
          <t>Figure 2. "The provider tax rule's net effect on providers: -$220.3 billion measured alone, +$21.7 billion after counting the SDP rule's cuts first." Earlier figure values (four parties): Table 12 / Table 14: federal +$245.8B / +$90.9B; states -$60.5B / -$147.5B; providers -$220.3B / +$21.7B; private payers +$35.0B / +$35.0B</t>
        </is>
      </c>
      <c r="D268" s="12" t="inlineStr">
        <is>
          <t>figure</t>
        </is>
      </c>
      <c r="E268" s="12" t="inlineStr">
        <is>
          <t>CMS-2452-P</t>
        </is>
      </c>
      <c r="F268" s="12" t="inlineStr">
        <is>
          <t>Note sec. 4 ([Figure 2] caption); source line as ledgered: "Tables 12 and 14 (91 FR 46592-93)."</t>
        </is>
      </c>
      <c r="G268" s="12" t="inlineStr">
        <is>
          <t>Note [Figure 2] caption</t>
        </is>
      </c>
      <c r="H268" s="12" t="inlineStr">
        <is>
          <t>Four-party transfer accounts, standalone and interaction-inclusive</t>
        </is>
      </c>
      <c r="I268" s="12" t="inlineStr">
        <is>
          <t>all four parties</t>
        </is>
      </c>
      <c r="J268" s="12" t="inlineStr">
        <is>
          <t>FY2026–2035</t>
        </is>
      </c>
      <c r="K268" s="12" t="inlineStr">
        <is>
          <t>real 2026 dollars</t>
        </is>
      </c>
      <c r="L268" s="12" t="inlineStr">
        <is>
          <t>primary</t>
        </is>
      </c>
      <c r="M268" s="12" t="inlineStr">
        <is>
          <t>Values at CE-10 and CE-11; sums 0.0 and +0.1 as the figure notes. The stacked range is CE-39 and CE-41. FLAG: the figure points to 'section 2.4' for the −$488B to −$753B range, but sec. 2.4 gives only the low and high stacked figures (CE-42); the range is stated in the Summary of findings UPDATED October 11, 2026: v17's caption names providers only. Whether the artwork still plots all four parties was not supplied; the four-party values stay ledgered at CE-10 and CE-11, and the states' net figures (-$60.5B and -$147.5B) are in the sec. 5 exhibit (CE-68). The earlier FLAG about a pointer to 'section 2.4' is moot: v17 has no sec. 2.4 and states the stacked range in sec. 4 (CE-41, CE-42). Previous wording: 'Figure 2. "Provider tax rule only: net position by party, standalone and on top of the SDP rule." Values: Table 12 / Table 14: federal +$245.8B / +$90.9B; states −$60.5B / −$147.5B; providers −$220.3B / +$21.7B; private payers +$35.0B / +$35.0B. Note: stacked with the SDP rule, providers' net position is between about −$488B and −$753B (section 2.4)'</t>
        </is>
      </c>
      <c r="N268" s="12" t="inlineStr">
        <is>
          <t>verified with caveat — caption only in v17; artwork not supplied; party values not re-checked against it</t>
        </is>
      </c>
    </row>
    <row r="269" ht="199.5" customHeight="1" s="10">
      <c r="A269" s="12" t="inlineStr">
        <is>
          <t>8. Figures</t>
        </is>
      </c>
      <c r="B269" s="13" t="inlineStr">
        <is>
          <t>FG-03</t>
        </is>
      </c>
      <c r="C269" s="12" t="inlineStr">
        <is>
          <t>Figure 3. "From -$220.3 billion to +$21.7 billion: the difference is the $241.9 billion overlap." Values: payment reduction -$384.0B; tax relief +$163.7B; standalone net -$220.3B; booked to the SDP rule +$241.9B; incremental payment reduction -$142.1B; tax relief +$163.7B; increment +$21.7B. Note (earlier figure): adjusted movement sums to +$21.6B; low and high +$149.6B and -$136.1B; stacked between about -$488B and -$753B</t>
        </is>
      </c>
      <c r="D269" s="12" t="inlineStr">
        <is>
          <t>figure</t>
        </is>
      </c>
      <c r="E269" s="12" t="inlineStr">
        <is>
          <t>CMS-2452-P</t>
        </is>
      </c>
      <c r="F269" s="12" t="inlineStr">
        <is>
          <t>Note sec. 4 ([Figure 3] caption); source line as ledgered: "Table 11 (91 FR 46591); Table 8 (91 FR 46590); Table 12 (91 FR 46592); narrative, 91 FR 46592; Table 14 (91 FR 46593)."</t>
        </is>
      </c>
      <c r="G269" s="12" t="inlineStr">
        <is>
          <t>Note [Figure 3] caption</t>
        </is>
      </c>
      <c r="H269" s="12" t="inlineStr">
        <is>
          <t>Bridge between the two net provider figures</t>
        </is>
      </c>
      <c r="I269" s="12" t="inlineStr">
        <is>
          <t>provider aggregate</t>
        </is>
      </c>
      <c r="J269" s="12" t="inlineStr">
        <is>
          <t>FY2026–2035</t>
        </is>
      </c>
      <c r="K269" s="12" t="inlineStr">
        <is>
          <t>real 2026 dollars</t>
        </is>
      </c>
      <c r="L269" s="12" t="inlineStr">
        <is>
          <t>primary</t>
        </is>
      </c>
      <c r="M269" s="12" t="inlineStr">
        <is>
          <t>Values at CE-07, CE-09, CE-10, CE-14, CE-16, CE-11, CE-17, CE-18, CE-39, CE-41. FLAG: the figure's note gives a 'roughly 0.3' noise floor; sec. 2.2 now says 0.3 to 0.4 (CE-53) UPDATED October 11, 2026: v17 carries only the caption (earlier title: 'Why the provider tax rule has two provider impact estimates.'; earlier headline in chart: 'The $241.9B is not restored to providers.'). The artwork was not supplied. The earlier FLAG about a 'roughly 0.3' noise floor against sec. 2.2's '0.3 to 0.4' is moot: v17 says $163.7B less $142.1B is $21.6B and the difference from CMS's $21.7B is rounding in CMS's components (App. E; CE-53 is superseded). Values at CE-07, CE-09, CE-10, CE-14, CE-16, CE-11, CE-17, CE-18, CE-39, CE-41. Previous wording: 'Figure 3. "Why the provider tax rule has two provider impact estimates." Values: payment reduction −$384.0B; tax relief +$163.7B; standalone net −$220.3B; booked to the SDP rule +$241.9B; incremental payment reduction −$142.1B; tax relief +$163.7B; increment +$21.7B. Note: adjusted movement sums to +$21.6B; low and high +$149.6B and −$136.1B; stacked between about −$488B and −$753B'</t>
        </is>
      </c>
      <c r="N269" s="12" t="inlineStr">
        <is>
          <t>verified with caveat — caption only in v17; artwork not supplied; the earlier noise-floor caveat is moot</t>
        </is>
      </c>
    </row>
    <row r="270" ht="126.75" customHeight="1" s="10">
      <c r="A270" s="12" t="inlineStr">
        <is>
          <t>8. Figures</t>
        </is>
      </c>
      <c r="B270" s="13" t="inlineStr">
        <is>
          <t>FG-04</t>
        </is>
      </c>
      <c r="C270" s="12" t="inlineStr">
        <is>
          <t>Figure 4. "The overlap depends on the scenario." Values: low ~$285B (derived), 95% of its $298.7B standalone payment cut; primary $241.9B (CMS), 63% of $384.0B; high ~$180B (derived), 38% of $480.2B. Note: tax relief of $163.7B assumed the same in every scenario; low share exceeds CMS's 'up to 90 percent' flow-through</t>
        </is>
      </c>
      <c r="D270" s="12" t="inlineStr">
        <is>
          <t>figure</t>
        </is>
      </c>
      <c r="E270" s="12" t="inlineStr">
        <is>
          <t>CMS-2452-P</t>
        </is>
      </c>
      <c r="F270" s="12" t="inlineStr">
        <is>
          <t>Source line: "Tables 15-18 (91 FR 46593-94); narrative, 91 FR 46592."</t>
        </is>
      </c>
      <c r="G270" s="12" t="inlineStr">
        <is>
          <t>Subtitle: "Provider payment reduction already attributed to the SDP rule, $ billions. CMS prints only the primary figure."</t>
        </is>
      </c>
      <c r="H270" s="12" t="inlineStr">
        <is>
          <t>Overlap by scenario and as a share of the standalone cut</t>
        </is>
      </c>
      <c r="I270" s="12" t="inlineStr">
        <is>
          <t>provider aggregate, total computable</t>
        </is>
      </c>
      <c r="J270" s="12" t="inlineStr">
        <is>
          <t>FY2026–2035</t>
        </is>
      </c>
      <c r="K270" s="12" t="inlineStr">
        <is>
          <t>real 2026 dollars</t>
        </is>
      </c>
      <c r="L270" s="12" t="inlineStr">
        <is>
          <t>low / primary / high</t>
        </is>
      </c>
      <c r="M270" s="12" t="inlineStr">
        <is>
          <t>SUPERSEDED October 11, 2026. The row records Figure 4, 'The overlap depends on the scenario', with the derived low (about $285B) and high (about $180B) overlaps. v17 has no [Figure 4] placeholder; App. D's outline names the derived overlaps and the 38 and 37 percent preprint figures in text and refers to Figure 5 only for the net provider figures. Removed or reversed by: the revisions between the v9 sync and v17 (the supplied decision log and change map do not identify which revision removed the figure). Replaced by: CE-33 carries the derived overlaps. Original cross-check, retained for the record: Values at CE-14, CE-33, CE-46, CE-47. Low and high labelled derived, as the note requires (CE-33)</t>
        </is>
      </c>
      <c r="N270" s="12" t="inlineStr">
        <is>
          <t>SUPERSEDED — v17 has no Figure 4; derived overlaps are in the App. D outline without a figure</t>
        </is>
      </c>
    </row>
    <row r="271" ht="95.25" customHeight="1" s="10">
      <c r="A271" s="12" t="inlineStr">
        <is>
          <t>8. Figures</t>
        </is>
      </c>
      <c r="B271" s="13" t="inlineStr">
        <is>
          <t>FG-05</t>
        </is>
      </c>
      <c r="C271" s="12" t="inlineStr">
        <is>
          <t>Figure 5. "Provider tax rule only: its net provider effect crosses zero across scenarios." Values: excluding / including the overlap: low −$135.0B / +$149.6B; primary −$220.3B / +$21.7B; high −$316.5B / −$136.1B. Note: counting both rules, provider payments fall in every scenario</t>
        </is>
      </c>
      <c r="D271" s="12" t="inlineStr">
        <is>
          <t>figure</t>
        </is>
      </c>
      <c r="E271" s="12" t="inlineStr">
        <is>
          <t>CMS-2452-P</t>
        </is>
      </c>
      <c r="F271" s="12" t="inlineStr">
        <is>
          <t>Note App. D (outline: 'with Figure 5'); source line as ledgered: "Tables 12 and 14 to 18 (91 FR 46592-94)."</t>
        </is>
      </c>
      <c r="G271" s="12" t="inlineStr">
        <is>
          <t>Note App. D outline</t>
        </is>
      </c>
      <c r="H271" s="12" t="inlineStr">
        <is>
          <t>Net provider position by scenario and overlap treatment</t>
        </is>
      </c>
      <c r="I271" s="12" t="inlineStr">
        <is>
          <t>provider aggregate</t>
        </is>
      </c>
      <c r="J271" s="12" t="inlineStr">
        <is>
          <t>FY2026–2035</t>
        </is>
      </c>
      <c r="K271" s="12" t="inlineStr">
        <is>
          <t>real 2026 dollars</t>
        </is>
      </c>
      <c r="L271" s="12" t="inlineStr">
        <is>
          <t>low / primary / high</t>
        </is>
      </c>
      <c r="M271" s="12" t="inlineStr">
        <is>
          <t>Values at CE-18 and CE-19; stacked statement at CE-52 UPDATED October 11, 2026: v17 names Figure 5 only in the App. D outline ('the provider tax rule's net provider figures under CMS's three estimates (-$135.0B, -$220.3B, -$316.5B measured alone; +$149.6B, +$21.7B, -$136.1B after counting the SDP rule first) with Figure 5'), and those six values match this row. No Figure 5 caption is drafted and the artwork was not supplied. Retained because the outline still commits to the figure.</t>
        </is>
      </c>
      <c r="N271" s="12" t="inlineStr">
        <is>
          <t>verified — values match the App. D outline; artwork and caption not in v17</t>
        </is>
      </c>
    </row>
    <row r="272" ht="189" customHeight="1" s="10">
      <c r="A272" s="12" t="inlineStr">
        <is>
          <t>8. Figures</t>
        </is>
      </c>
      <c r="B272" s="13" t="inlineStr">
        <is>
          <t>FG-06</t>
        </is>
      </c>
      <c r="C272" s="12" t="inlineStr">
        <is>
          <t>Figure 6. "Which parts of the two proposed rules reach each state. The map shows where the rules apply, not where losses would be largest." Values: Group A 24 states; B 2; C 3; D 8; E 14; non-expansion states 10. Panel: Texas $3.5B above limits; Tennessee, Georgia and South Carolina more than $1.6B each; CO, CT, IN, VT reached by the lower threshold</t>
        </is>
      </c>
      <c r="D272" s="12" t="inlineStr">
        <is>
          <t>figure</t>
        </is>
      </c>
      <c r="E272" s="12" t="inlineStr">
        <is>
          <t>KFF, as grouped by THEIA Services</t>
        </is>
      </c>
      <c r="F272" s="12" t="inlineStr">
        <is>
          <t>Note sec. 6 ([Figure 6] caption and table source line): "THEIA Services' grouping from KFF's August 2026 state file and Medicaid expansion tracker; KFF does not use these groups."</t>
        </is>
      </c>
      <c r="G272" s="12" t="inlineStr">
        <is>
          <t>Note [Figure 6] caption</t>
        </is>
      </c>
      <c r="H272" s="12" t="inlineStr">
        <is>
          <t>Structural grouping by mechanism reach, not expected impact</t>
        </is>
      </c>
      <c r="I272" s="12" t="inlineStr">
        <is>
          <t>state level</t>
        </is>
      </c>
      <c r="J272" s="12" t="inlineStr">
        <is>
          <t>Aug 2026 files</t>
        </is>
      </c>
      <c r="K272" s="12" t="inlineStr">
        <is>
          <t>n/a</t>
        </is>
      </c>
      <c r="L272" s="12" t="inlineStr">
        <is>
          <t>not scenario-dependent</t>
        </is>
      </c>
      <c r="M272" s="12" t="inlineStr">
        <is>
          <t>Counts at SE-05 to SE-10, SE-13, SE-19; dollar panel at SE-12; Group E note at SE-10. The 12 flagged states on the map (the 10 non-expansion states plus MN and MO) match SE-19 UPDATED October 11, 2026: v17 carries only the caption. The earlier title ('State Medicaid hospital financing exposure to two proposed CMS rules') and the 'data quality flag 12 states' layer are not in v17 (SE-19 is superseded); the map note that Colorado, Connecticut, Indiana and Vermont are reached by 'the phase-down' now reads 'the lower threshold' (SE-10). Counts at SE-05 to SE-10; the dollar panel at SE-12 (single-source); the group definitions are THEIA Services' (SE-17). The artwork was not supplied. Previous wording: 'Figure 6. "State Medicaid hospital financing exposure to two proposed CMS rules." Values: Group A 24 states; B 2; C 3; D 8; E 14; non-expansion states 10 (heavy boundary); data quality flag 12 states. Panel: Texas $3.5B above limits; Tennessee, Georgia and South Carolina above $1.6B each; CO, CT, IN, VT reached by the phase-down'</t>
        </is>
      </c>
      <c r="N272" s="12" t="inlineStr">
        <is>
          <t>verified with caveat — caption only in v17; artwork not supplied; dollar panel rests on SE-12, which is single-source — NEEDS VERIFICATION [DL3] KFF, August 14, 2026 (state file, expansion tracker, $155 billion) is on the decision-log re-check list (secs. 5–6; App. H); this row rests on it.</t>
        </is>
      </c>
    </row>
    <row r="273" ht="126.75" customHeight="1" s="10">
      <c r="A273" s="12" t="inlineStr">
        <is>
          <t>8. Figures</t>
        </is>
      </c>
      <c r="B273" s="13" t="inlineStr">
        <is>
          <t>FG-07</t>
        </is>
      </c>
      <c r="C273" s="12" t="inlineStr">
        <is>
          <t>Figure 7. "Pediatric inpatient units fell faster than adult units from 2008 to 2022, in one national study." Values: index 2008 = 100; 2022 pediatric units 70.1, pediatric beds 80.5, adult units 95.6 (no adult bed series in source)</t>
        </is>
      </c>
      <c r="D273" s="12" t="inlineStr">
        <is>
          <t>figure</t>
        </is>
      </c>
      <c r="E273" s="12" t="inlineStr">
        <is>
          <t>Michelson et al.</t>
        </is>
      </c>
      <c r="F273" s="12" t="inlineStr">
        <is>
          <t>Note sec. 8 ([Figure 7] caption); source line as ledgered: "Michelson et al., December 2024."</t>
        </is>
      </c>
      <c r="G273" s="12" t="inlineStr">
        <is>
          <t>Note [Figure 7] caption</t>
        </is>
      </c>
      <c r="H273" s="12" t="inlineStr">
        <is>
          <t>Change in pediatric and adult inpatient capacity</t>
        </is>
      </c>
      <c r="I273" s="12" t="inlineStr">
        <is>
          <t>national</t>
        </is>
      </c>
      <c r="J273" s="12" t="inlineStr">
        <is>
          <t>2008–2022</t>
        </is>
      </c>
      <c r="K273" s="12" t="inlineStr">
        <is>
          <t>n/a</t>
        </is>
      </c>
      <c r="L273" s="12" t="inlineStr">
        <is>
          <t>not scenario-dependent</t>
        </is>
      </c>
      <c r="M273" s="12" t="inlineStr">
        <is>
          <t>Internal: 100 − 29.9 = 70.1; 100 − 19.5 = 80.5; 100 − 4.4 = 95.6, matching AC-10. Single source, as the figure states UPDATED October 11, 2026: v17 carries only the caption, which now says 'units fell faster than adult units' where the earlier title said 'capacity fell faster than adult capacity'; the caption no longer claims pediatric beds against adult beds, consistent with the absence of an adult bed series. Values unchanged (AC-10); artwork not supplied. Previous wording: 'Figure 7. "Pediatric inpatient capacity fell faster than adult capacity" (caption adds "2008 to 2022"). Values: index 2008 = 100; 2022 pediatric units 70.1, pediatric beds 80.5, adult units 95.6 (no adult bed series in source)'</t>
        </is>
      </c>
      <c r="N273" s="12" t="inlineStr">
        <is>
          <t>single-source - one study (AC-10); caption only in v17 — NEEDS VERIFICATION [DL3] Michelson et al., December 2024 is on the decision-log re-check list (sec. 8); the figure rests on AC-10.</t>
        </is>
      </c>
    </row>
    <row r="274" ht="157.5" customHeight="1" s="10">
      <c r="A274" s="12" t="inlineStr">
        <is>
          <t>8. Figures</t>
        </is>
      </c>
      <c r="B274" s="13" t="inlineStr">
        <is>
          <t>FG-08</t>
        </is>
      </c>
      <c r="C274" s="12" t="inlineStr">
        <is>
          <t>Figure 8. "Psychiatric beds per 100,000 people by hospital type, 2011-2023. The combined total was about flat, and the authors found no statistically significant trend for any type of bed." Values: total 28.1 to 28.4; freestanding psychiatric 16.8 to 19.5; short-term acute-care 11.3 to 9.06. Earlier note: 95% CI -5.84 to 3.01 for short-term beds; 2023 components sum to 28.6 against a published 28.4</t>
        </is>
      </c>
      <c r="D274" s="12" t="inlineStr">
        <is>
          <t>figure</t>
        </is>
      </c>
      <c r="E274" s="12" t="inlineStr">
        <is>
          <t>Lindenfeld et al.</t>
        </is>
      </c>
      <c r="F274" s="12" t="inlineStr">
        <is>
          <t>Note sec. 8 ([Figure 8] caption); source line as ledgered: "Lindenfeld et al., PLoS Medicine, 2025."</t>
        </is>
      </c>
      <c r="G274" s="12" t="inlineStr">
        <is>
          <t>Note [Figure 8] caption</t>
        </is>
      </c>
      <c r="H274" s="12" t="inlineStr">
        <is>
          <t>Psychiatric beds per 100,000 by facility type</t>
        </is>
      </c>
      <c r="I274" s="12" t="inlineStr">
        <is>
          <t>national</t>
        </is>
      </c>
      <c r="J274" s="12" t="inlineStr">
        <is>
          <t>2011–2023</t>
        </is>
      </c>
      <c r="K274" s="12" t="inlineStr">
        <is>
          <t>n/a</t>
        </is>
      </c>
      <c r="L274" s="12" t="inlineStr">
        <is>
          <t>not scenario-dependent</t>
        </is>
      </c>
      <c r="M274" s="12" t="inlineStr">
        <is>
          <t>Values at AC-07, AC-08, AC-11. Internal: 9.06 + 19.5 = 28.56, stated as 28.6, against 28.4 (AC-07) UPDATED October 11, 2026: v17 carries only the caption ('The combined total was about flat, and the authors found no statistically significant trend for any type of bed'). The confidence interval and the 28.6 against 28.4 note are not in the caption and are not note claims (AC-08); whether the artwork still shows them was not supplied. Values at AC-07, AC-08, AC-11. Internal: 9.06 + 19.5 = 28.56 (28.6) against 28.4. Previous wording: 'Figure 8. "Psychiatric beds per 100,000 by facility type, 2011 and 2023." Values: total 28.1 to 28.4; freestanding psychiatric 16.8 to 19.5; short-term acute-care 11.3 to 9.06. Note: no significant trend for any bed type (95% CI −5.84 to 3.01 for short-term beds); 2023 components sum to 28.6 against a published 28.4'</t>
        </is>
      </c>
      <c r="N274" s="12" t="inlineStr">
        <is>
          <t>single-source - one study (AC-07); caption only in v17 — NEEDS VERIFICATION [DL3] Lindenfeld et al., PLoS Medicine, July 2025 is on the decision-log re-check list (sec. 8); the figure rests on AC-07, AC-08 and AC-11.</t>
        </is>
      </c>
    </row>
    <row r="275" ht="126.75" customHeight="1" s="10">
      <c r="A275" s="12" t="inlineStr">
        <is>
          <t>8. Figures</t>
        </is>
      </c>
      <c r="B275" s="13" t="inlineStr">
        <is>
          <t>FG-09</t>
        </is>
      </c>
      <c r="C275" s="12" t="inlineStr">
        <is>
          <t>Figure 9. "Hospital SDP rate detail: about half is imputed." Values: rate detail available $38.4B (49%); imputed $39.6B (51%); 35 of 131 preprints lacked payment levels</t>
        </is>
      </c>
      <c r="D275" s="12" t="inlineStr">
        <is>
          <t>figure</t>
        </is>
      </c>
      <c r="E275" s="12" t="inlineStr">
        <is>
          <t>KFF</t>
        </is>
      </c>
      <c r="F275" s="12" t="inlineStr">
        <is>
          <t>Source line: "KFF August 2026 SDP file."</t>
        </is>
      </c>
      <c r="G275" s="12" t="inlineStr">
        <is>
          <t>Subtitle: "Federal hospital SDP spending covered by KFF's hospital analysis, $ billions."</t>
        </is>
      </c>
      <c r="H275" s="12" t="inlineStr">
        <is>
          <t>Split of analyzed spending by rate-detail availability</t>
        </is>
      </c>
      <c r="I275" s="12" t="inlineStr">
        <is>
          <t>federal, hospital only</t>
        </is>
      </c>
      <c r="J275" s="12" t="inlineStr">
        <is>
          <t>FFY2025</t>
        </is>
      </c>
      <c r="K275" s="12" t="inlineStr">
        <is>
          <t>nominal</t>
        </is>
      </c>
      <c r="L275" s="12" t="inlineStr">
        <is>
          <t>not scenario-dependent</t>
        </is>
      </c>
      <c r="M275" s="12" t="inlineStr">
        <is>
          <t>SUPERSEDED October 11, 2026. The row records Figure 9, 'Hospital SDP rate detail: about half is imputed' ($38.4B available; $39.6B imputed; 35 of 131 preprints). v17 has no [Figure 9] placeholder and no longer states the imputed share (SE-15 is superseded). Removed or reversed by: the revisions between the v9 sync and v17 (the supplied decision log and change map do not identify which revision removed the figure). Replaced by: none (removed, not reversed). Original cross-check, retained for the record: Internal: 78.0 − 39.6 = 38.4; 38.4 / 78.0 = 49.2%; 39.6 / 78.0 = 50.8%. Values at SE-15. The source line names KFF's SDP file; SE-15 quotes the same figures from the Aug 14, 2026 brief's Methods</t>
        </is>
      </c>
      <c r="N275" s="12" t="inlineStr">
        <is>
          <t>SUPERSEDED — v17 has no Figure 9; KFF imputation split is no longer a note claim</t>
        </is>
      </c>
    </row>
  </sheetData>
  <autoFilter ref="A1:N275"/>
  <conditionalFormatting sqref="N2:N275">
    <cfRule type="expression" rank="0" priority="2" equalAverage="0" aboveAverage="0" dxfId="8" text="" percent="0" bottom="0">
      <formula>ISNUMBER(SEARCH("NEEDS VERIFICATION",$N2))</formula>
    </cfRule>
  </conditionalFormatting>
  <conditionalFormatting sqref="A2:N275">
    <cfRule type="expression" rank="0" priority="3" equalAverage="0" aboveAverage="0" dxfId="9" text="" percent="0" bottom="0">
      <formula>LEFT($N2,10)="SUPERSEDED"</formula>
    </cfRule>
    <cfRule type="expression" rank="0" priority="4" equalAverage="0" aboveAverage="0" dxfId="10" text="" percent="0" bottom="0">
      <formula>LEFT($N2,10)="unresolved"</formula>
    </cfRule>
    <cfRule type="expression" rank="0" priority="5" equalAverage="0" aboveAverage="0" dxfId="11" text="" percent="0" bottom="0">
      <formula>LEFT($N2,13)="single-source"</formula>
    </cfRule>
    <cfRule type="expression" priority="5" dxfId="12">
      <formula>LEFT($N2,9)="corrected"</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9" min="1" max="1"/>
    <col width="95" customWidth="1" style="9" min="2" max="2"/>
  </cols>
  <sheetData>
    <row r="1" ht="26.25" customHeight="1" s="10">
      <c r="A1" s="14" t="inlineStr">
        <is>
          <t>Evidence Ledger - Section A findings table</t>
        </is>
      </c>
      <c r="B1" s="15" t="n"/>
    </row>
    <row r="2" ht="34.5" customHeight="1" s="10">
      <c r="A2" s="15" t="inlineStr">
        <is>
          <t>Appendix to: [TITLE] (THEIA Services, September 6, 2026; revised [DATE])</t>
        </is>
      </c>
      <c r="B2" s="15" t="n"/>
    </row>
    <row r="3" ht="15" customHeight="1" s="10">
      <c r="A3" s="15" t="n"/>
      <c r="B3" s="15" t="n"/>
    </row>
    <row r="4" ht="15" customHeight="1" s="10">
      <c r="A4" s="16" t="inlineStr">
        <is>
          <t>Status</t>
        </is>
      </c>
      <c r="B4" s="16" t="inlineStr">
        <is>
          <t>Meaning</t>
        </is>
      </c>
    </row>
    <row r="5" ht="15" customHeight="1" s="10">
      <c r="A5" s="15" t="inlineStr">
        <is>
          <t>verified</t>
        </is>
      </c>
      <c r="B5" s="15" t="inlineStr">
        <is>
          <t>Corroborated by an independent source or by an arithmetic identity that closes.</t>
        </is>
      </c>
    </row>
    <row r="6" ht="15" customHeight="1" s="10">
      <c r="A6" s="15" t="inlineStr">
        <is>
          <t>verified with caveat</t>
        </is>
      </c>
      <c r="B6" s="15" t="inlineStr">
        <is>
          <t>Corroborated, with a qualification that changes how the claim should be read.</t>
        </is>
      </c>
    </row>
    <row r="7" ht="15" customHeight="1" s="10">
      <c r="A7" s="15" t="inlineStr">
        <is>
          <t>single-source</t>
        </is>
      </c>
      <c r="B7" s="15" t="inlineStr">
        <is>
          <t>One source; no corroboration located. Shaded amber.</t>
        </is>
      </c>
    </row>
    <row r="8" ht="15" customHeight="1" s="10">
      <c r="A8" s="15" t="inlineStr">
        <is>
          <t>unresolved</t>
        </is>
      </c>
      <c r="B8" s="15" t="inlineStr">
        <is>
          <t>The claim does not close, or no supporting source was located. Shaded red.</t>
        </is>
      </c>
    </row>
    <row r="9" ht="23.25" customHeight="1" s="10">
      <c r="A9" s="15" t="inlineStr">
        <is>
          <t>superseded</t>
        </is>
      </c>
      <c r="B9" s="15" t="inlineStr">
        <is>
          <t>The note no longer makes the claim, or has reversed it. The row is kept, with the reason and the revision that removed it. Shaded grey.</t>
        </is>
      </c>
    </row>
    <row r="10" ht="36" customHeight="1" s="10">
      <c r="A10" s="15" t="inlineStr">
        <is>
          <t>corrected</t>
        </is>
      </c>
      <c r="B10" s="15" t="inlineStr">
        <is>
          <t>Added October 13, 2026: the source the row names differs from the claim. The Status records the source's wording (24 words or fewer), the pinpoint and what v17 must change. Shaded blue.</t>
        </is>
      </c>
    </row>
    <row r="11" ht="48" customHeight="1" s="10">
      <c r="A11" s="15" t="inlineStr">
        <is>
          <t>needs verification</t>
        </is>
      </c>
      <c r="B11" s="15" t="inlineStr">
        <is>
          <t>Flag at the end of the Status column: the item is on the decision log's re-check list or the change map's lists. [DL3] re-check list; [DL4] comment ID to verify; [CM] Federal Register pinpoint from the new-text check. Shaded orange. The base status stands. After the October 13, 2026 check, a flag that remains ends with 'blocked: &lt;host&gt;' or 'not found'.</t>
        </is>
      </c>
    </row>
    <row r="12" ht="150" customHeight="1" s="10">
      <c r="A12" s="15" t="inlineStr">
        <is>
          <t>Coverage caveat</t>
        </is>
      </c>
      <c r="B12" s="15" t="inlineStr">
        <is>
          <t>Updated October 13, 2026. Verification of the NEEDS VERIFICATION rows; details in verification_v4_log.md. Checked so far: [CM] Federal Register pinpoints; 17 of the 91 flagged rows. Each claim was compared with the primary source the row names, and every quotation and matched phrase was found by script in the downloaded text (Federal Register and statute: govinfo.gov PDFs and HTML, with OCR for tables printed as images; comments: regulations.gov API and attachments). Outcome: 12 rows match and lose the flag (8 upgraded, for example single-source to verified); 4 differ and are marked corrected, with the source's wording (24 words or fewer), the pinpoint and what v17 must change; 0 keep the flag with 'blocked: &lt;host&gt;' or 'not found'. 2 rows with two tags were resolved for one tag only and keep the other tag's flag (counted above by the result for the resolved tag). No row text other than the Cross-check and Status columns was changed. The appendix title line now names THEIA Services instead of the [FIRM] placeholder.</t>
        </is>
      </c>
    </row>
    <row r="13" ht="117.75" customHeight="1" s="10">
      <c r="A13" s="15" t="n"/>
      <c r="B13" s="15" t="inlineStr">
        <is>
          <t>Updated October 11, 2026: synced to the October 2026 draft of the note (v17), which is the source of truth for Section A (replaces the September 27 statement that it was synced to v9). 73 rows added, 121 updated (and 3 flagged only), 27 newly superseded (46 in all), 91 flagged NEEDS VERIFICATION. Section numbers follow v17 (former sec. 3a-3d are sec. 5; former 4 is 6; former 5 is 8; former 7 is 9; footnotes 1-3 are in App. E); rows not touched keep the old numbering. The evidence tag [E]/[I]/[C] is appended to the Claim type on added and updated rows. Cluster 8 is checked against figure captions only. The title line is still the placeholder "[TITLE]".</t>
        </is>
      </c>
    </row>
    <row r="14" ht="23.25" customHeight="1" s="10">
      <c r="A14" s="15" t="n"/>
      <c r="B14" s="15" t="inlineStr">
        <is>
          <t>The reconciliation worksheet (C1) is now available; all 47 distinct R-numbers cited in the note and this ledger have been verified against it. The state indicator file (C2) remains unavailable.</t>
        </is>
      </c>
    </row>
    <row r="15" ht="23.25" customHeight="1" s="10">
      <c r="A15" s="15" t="n"/>
      <c r="B15" s="15" t="inlineStr">
        <is>
          <t>Worksheet row identifiers (R0702 etc.) have been resolved against the worksheet and match on rule, table, Federal Register page, value and series; they are no longer carried forward unverified.</t>
        </is>
      </c>
    </row>
    <row r="16" ht="15" customHeight="1" s="10">
      <c r="A16" s="15" t="n"/>
      <c r="B16" s="15" t="inlineStr">
        <is>
          <t>State cross-checks were performed against the state tier file (C4); all state counts reproduce exactly.</t>
        </is>
      </c>
    </row>
    <row r="17" ht="15" customHeight="1" s="10">
      <c r="A17" s="15" t="n"/>
      <c r="B17" s="15" t="n"/>
    </row>
    <row r="18" ht="15" customHeight="1" s="10">
      <c r="A18" s="15" t="inlineStr">
        <is>
          <t>Rows</t>
        </is>
      </c>
      <c r="B18" s="15">
        <f>COUNTA('Section A - Findings'!$B$2:$B$275)</f>
        <v/>
      </c>
    </row>
    <row r="19" ht="15" customHeight="1" s="10">
      <c r="A19" s="15" t="inlineStr">
        <is>
          <t>Unresolved</t>
        </is>
      </c>
      <c r="B19" s="15">
        <f>COUNTIF('Section A - Findings'!$N$2:$N$275,"unresolved*")</f>
        <v/>
      </c>
    </row>
    <row r="20" ht="15" customHeight="1" s="10">
      <c r="A20" s="15" t="inlineStr">
        <is>
          <t>Single-source</t>
        </is>
      </c>
      <c r="B20" s="15">
        <f>COUNTIF('Section A - Findings'!$N$2:$N$275,"single-source*")</f>
        <v/>
      </c>
    </row>
    <row r="21" ht="15" customHeight="1" s="10">
      <c r="A21" s="15" t="inlineStr">
        <is>
          <t>Superseded</t>
        </is>
      </c>
      <c r="B21" s="15">
        <f>COUNTIF('Section A - Findings'!$N$2:$N$275,"SUPERSEDED*")</f>
        <v/>
      </c>
    </row>
    <row r="22" ht="15" customHeight="1" s="10">
      <c r="A22" s="15" t="inlineStr">
        <is>
          <t>Corrected</t>
        </is>
      </c>
      <c r="B22" s="15">
        <f>COUNTIF('Section A - Findings'!$N$2:$N$275,"corrected*")</f>
        <v/>
      </c>
    </row>
    <row r="23" ht="15" customHeight="1" s="10">
      <c r="A23" s="15" t="inlineStr">
        <is>
          <t>Needs verification</t>
        </is>
      </c>
      <c r="B23" s="15">
        <f>COUNTIF('Section A - Findings'!$N$2:$N$275,"*NEEDS VERIFICATION*")</f>
        <v/>
      </c>
    </row>
    <row r="24" ht="15" customHeight="1" s="10">
      <c r="A24" s="15" t="inlineStr">
        <is>
          <t xml:space="preserve">  tagged DL3</t>
        </is>
      </c>
      <c r="B24" s="15">
        <f>COUNTIF('Section A - Findings'!$N$2:$N$275,"*[DL3]*")</f>
        <v/>
      </c>
    </row>
    <row r="25" ht="15" customHeight="1" s="10">
      <c r="A25" s="15" t="inlineStr">
        <is>
          <t xml:space="preserve">  tagged DL4</t>
        </is>
      </c>
      <c r="B25" s="15">
        <f>COUNTIF('Section A - Findings'!$N$2:$N$275,"*[DL4]*")</f>
        <v/>
      </c>
    </row>
    <row r="26" ht="15" customHeight="1" s="10">
      <c r="A26" s="15" t="inlineStr">
        <is>
          <t xml:space="preserve">  tagged CM</t>
        </is>
      </c>
      <c r="B26" s="15">
        <f>COUNTIF('Section A - Findings'!$N$2:$N$275,"*[CM]*")</f>
        <v/>
      </c>
    </row>
    <row r="27" ht="15" customHeight="1" s="10">
      <c r="A27" s="15" t="inlineStr">
        <is>
          <t xml:space="preserve">  blocked</t>
        </is>
      </c>
      <c r="B27" s="15">
        <f>COUNTIF('Section A - Findings'!$N$2:$N$275,"*NEEDS VERIFICATION*blocked:*")</f>
        <v/>
      </c>
    </row>
    <row r="28" ht="15" customHeight="1" s="10">
      <c r="A28" s="15" t="inlineStr">
        <is>
          <t xml:space="preserve">  not found</t>
        </is>
      </c>
      <c r="B28" s="15">
        <f>COUNTIF('Section A - Findings'!$N$2:$N$275,"*NEEDS VERIFICATION*not found*")</f>
        <v/>
      </c>
    </row>
    <row r="29" ht="78" customHeight="1" s="10">
      <c r="A29" s="15" t="inlineStr">
        <is>
          <t>Counts are live formulas over the Status column (prefix match). Single-source includes context rows; superseded rows are counted under Superseded only. Needs verification counts rows whose Status ends with a NEEDS VERIFICATION flag; a row with two tags is counted under each tag but once in the total, and flagged rows keep their base status for the other counts. Corrected (added October 13, 2026) counts rows whose Status begins with 'corrected'; a corrected row that still carries a flag for its other tag is also counted under Needs verification. Blocked and not found count flagged rows whose remaining flag records that result.</t>
        </is>
      </c>
    </row>
    <row r="30"/>
    <row r="31"/>
    <row r="32"/>
    <row r="33"/>
    <row r="34"/>
    <row r="35"/>
    <row r="36"/>
    <row r="37"/>
    <row r="38"/>
    <row r="39"/>
  </sheetData>
  <mergeCells count="1">
    <mergeCell ref="A29:B2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2026-09-07T08:54:04Z</dcterms:created>
  <dcterms:modified xmlns:dcterms="http://purl.org/dc/terms/" xmlns:xsi="http://www.w3.org/2001/XMLSchema-instance" xsi:type="dcterms:W3CDTF">2026-10-13T01:03:24Z</dcterms:modified>
  <cp:revision>0</cp:revision>
</cp:coreProperties>
</file>