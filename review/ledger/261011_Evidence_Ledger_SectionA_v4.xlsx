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Findings'!$A$1:$N$275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7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RIN (0938-AV69, CMS-2449-P; 0938-AV93, CMS-2452-P) appeared on OIRA's list of regulatory actions under review as of Sept 21, 2026</t>
        </is>
      </c>
      <c r="D11" s="12" t="inlineStr">
        <is>
          <t>negative claim</t>
        </is>
      </c>
      <c r="E11" s="12" t="inlineStr">
        <is>
          <t>reginfo.gov</t>
        </is>
      </c>
      <c r="F11" s="12" t="inlineStr">
        <is>
          <t>eoReviewSearch, checked against the Sept 21, 2026 list (note status box); the note's sec. 1 retains the original Sept 5, 2026 check</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11" s="12" t="inlineStr">
        <is>
          <t>verified as scoped — see C-6; perishable — re-checked October 13, 2026, second pass: OIRA's list of rules under review, run October 13, 2026, shows neither RIN (0938-AV69, 0938-AV93); the check can now be dated October 13, 2026.</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 VERIFIED October 13, 2026 (verification_v4_log.md): P.L. 119-21, govinfo HTML (PLAW-119publ21), § 71116(b) at 139 Stat. 303, matched by script; the Act's date line is July 4, 2025. The statute also limits grandfathering to the rating period occurring within 180 days of enactment; CMS reads that as a criterion for every grandfathered SDP (91 FR 30418), so v17's sentence is a fair simplification.</t>
        </is>
      </c>
      <c r="N17" s="12" t="inlineStr">
        <is>
          <t>verified — upgraded from single-source: re-checked October 13, 2026: P.L. 119-21 § 71116(b), 139 Stat. 303, gives rural hospitals until the date of enactment (July 4, 2025) against before May 1, 2025, and the 10-point annual phase-down from 2028 applies to all grandfathered payments.</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Note App. B ('Draft note, rural hospitals'); Section 71116. No statutory page pinpoint in the note</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 VERIFIED October 13, 2026 (verification_v4_log.md): P.L. 119-21, govinfo HTML (PLAW-119publ21), § 71116(d)(2) at 139 Stat. 304, matched by script. The first class is a subsection (d) hospital located in, or treated as located in, a rural area or a rural census tract; v17's 'rural acute care hospitals paid under Medicare's inpatient prospective payment system' is a fair paraphrase.</t>
        </is>
      </c>
      <c r="N18" s="12" t="inlineStr">
        <is>
          <t>verified — upgraded from single-source: re-checked October 13, 2026: P.L. 119-21 § 71116(d)(2), 139 Stat. 304, lists the six classes (rural subsection (d) hospitals; critical access, sole community, Medicare-dependent small rural, low-volume and rural emergency hospitals).</t>
        </is>
      </c>
    </row>
    <row r="19" ht="147.75" customHeight="1" s="10">
      <c r="A19" s="12" t="inlineStr">
        <is>
          <t>1. Rule mechanics</t>
        </is>
      </c>
      <c r="B19" s="13" t="inlineStr">
        <is>
          <t>RM-18</t>
        </is>
      </c>
      <c r="C19" s="12" t="inlineStr">
        <is>
          <t>Critical access, freestanding children's and certain cancer hospitals are paid on cost and have no published Medicare rate, so their cap defaults to the state Medicaid plan rate</t>
        </is>
      </c>
      <c r="D19" s="12" t="inlineStr">
        <is>
          <t>rule mechanic [E]</t>
        </is>
      </c>
      <c r="E19" s="12" t="inlineStr">
        <is>
          <t>CMS-2449-P</t>
        </is>
      </c>
      <c r="F19" s="12" t="inlineStr">
        <is>
          <t>91 FR 30450; note sec. 8</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the statute says the same at § 71116(a), 139 Stat. 303 (re-check-list part, matched by script). v17's claim that the three hospital types' cap defaults to the state plan rate, and AC-16's [I] reading built on it, do not match the proposal.</t>
        </is>
      </c>
      <c r="N19" s="12" t="inlineStr">
        <is>
          <t>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Re-check-list part (re-checked October 13, 2026): the statute's default to the state plan rate, where no total published Medicare rate exists, is P.L. 119-21 § 71116(a), 139 Stat. 303.</t>
        </is>
      </c>
    </row>
    <row r="20" ht="105.75" customHeight="1" s="10">
      <c r="A20" s="12" t="inlineStr">
        <is>
          <t>1. Rule mechanics</t>
        </is>
      </c>
      <c r="B20" s="13" t="inlineStr">
        <is>
          <t>RM-19</t>
        </is>
      </c>
      <c r="C20" s="12" t="inlineStr">
        <is>
          <t>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is>
      </c>
      <c r="D20" s="12" t="inlineStr">
        <is>
          <t>rule mechanic [E]/[I]</t>
        </is>
      </c>
      <c r="E20" s="12" t="inlineStr">
        <is>
          <t>CMS-2452-P</t>
        </is>
      </c>
      <c r="F20" s="12" t="inlineStr">
        <is>
          <t>91 FR 46574 (September 30, 2028; Citation check and Round 3 item 3); 91 FR 46583 (interim data); note sec. 7 step 2, sec. 9 item 8</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t>
        </is>
      </c>
      <c r="N20" s="12" t="inlineStr">
        <is>
          <t>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4" s="12" t="inlineStr">
        <is>
          <t>verified as scoped — see M-6; perishable, and the rule's text remains non-public — re-checked October 13, 2026, second pass: reginfo.gov matches (CMS-2450, RIN 0938-AV70, received May 12, 2026, still pending; agenda entry covers SDPs and rescinding or revising 2024 provisions).</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rescind or revise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5" s="12" t="inlineStr">
        <is>
          <t>verified as scoped — see M-6; conditional on publication — re-checked October 13, 2026, second pass: reginfo.gov matches (as RM-23).</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weeks later</t>
        </is>
      </c>
      <c r="D26" s="12" t="inlineStr">
        <is>
          <t>rule mechanic — monitoring item, with a reference case [E]</t>
        </is>
      </c>
      <c r="E26" s="12" t="inlineStr">
        <is>
          <t>Texas Tribune, September 17, 2026; CMS preprint approvals on Medicaid.gov; state announcements</t>
        </is>
      </c>
      <c r="F26" s="12" t="inlineStr">
        <is>
          <t>Note sec. 9, item 5; Texas Tribune, September 17,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weeks later, September 17 per the Texas Tribune; M-7 dates it September 18)</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 VERIFIED October 14, 2026, third pass (verification_v4_log.md): Texas Tribune, September 17, 2026 (https://www.texastribune.org/2026/09/17/texas-medicaid-hospitals-greg-abbott-federal-impasse/), downloaded in the second pass and matched by script again. As instructed, the Fierce Healthcare half was not checked; the Fierce citation was removed from the Primary source and Exact citation columns, and 'about two and a half weeks' became 'about two weeks' in the Claim and Time horizon columns (September 1 to September 17 is 16 days).</t>
        </is>
      </c>
      <c r="N26" s="12" t="inlineStr">
        <is>
          <t>single-source — Texas Tribune, September 17, 2026, re-read; the Fierce Healthcare citation was dropped — re-checked October 14, 2026, third pass: Texas Tribune matches (halt began Sept. 1, the start of the state's fiscal year; dispute over how Texas raises the taxes; nearly $12 billion restored, announced Thursday, Sept. 17); 16 days is 'about two weeks'. Fierce Healthcare citation dropped and 'about two and a half weeks' changed to 'about two weeks', as instructed on October 14, 2026.</t>
        </is>
      </c>
    </row>
    <row r="27" ht="199.5" customHeight="1" s="10">
      <c r="A27" s="12" t="inlineStr">
        <is>
          <t>1. Rule mechanics</t>
        </is>
      </c>
      <c r="B27" s="13" t="inlineStr">
        <is>
          <t>RM-26</t>
        </is>
      </c>
      <c r="C27" s="12" t="inlineStr">
        <is>
          <t>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is>
      </c>
      <c r="D27" s="12" t="inlineStr">
        <is>
          <t>rule mechanic — monitoring item, litigation status [E] (CHAT's description); [I] (appeal number, unverified)</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 NOT FOUND October 13, 2026 (verification_v4_log.md): www.ca5.uscourts.gov opinion search (published and unpublished opinions and orders, 1996 to present) returns 0 results for '25-40766' and for '"local provider participation"'. That is consistent with a pending appeal but does not confirm the number or the June 24, 2026 status; the docket sheet is on PACER. courtlistener.com was refused.</t>
        </is>
      </c>
      <c r="N27" s="12" t="inlineStr">
        <is>
          <t>single-source — CHAT's description (comment 2476-0114); case caption and appeal number rest on an unverified research note — NEEDS VERIFICATION [DL3] Fifth Circuit No. 25-40766 and its June 24, 2026 status (research note, unverified) are on the decision-log re-check list (sec. 9 item 6). not found (re-checked October 13, 2026): the Fifth Circuit's opinion search has no opinion or order under No. 25-40766; the docket is on PACER, which was not reachable.</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 Re-check-list part, October 13, 2026: the schedule is in the statute at P.L. 119-21 § 71115(a)(2), 139 Stat. 302 (govinfo HTML), and the new permissible class at 91 FR 46562 (SUMMARY); both matched by script.</t>
        </is>
      </c>
      <c r="N29" s="12" t="inlineStr">
        <is>
          <t>verified — re-checked October 13, 2026: 91 FR 46565, 46576 and 46598 each state the schedule (5.5 percent in FFY 2028 down to 3.5 percent from FFY 2032); matches. Re-check-list part (re-checked October 13, 2026): the schedule's statutory page is P.L. 119-21 § 71115(a)(2), 139 Stat. 302 (new SSA § 1903(w)(4)(D)(ii)), and 91 FR 46562 states the new permissible class; both match. Upgraded from single-source: the rule and the statute agree.</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 VERIFIED October 13, 2026 (verification_v4_log.md): read in the CMS-2452-P, govinfo PDF (FR Doc. 2026-14897) and CMS-2449-P, govinfo PDF (FR Doc. 2026-10292), matched by script. CMS itself says the WFTC legislation does not address the 75/75 test (46581) and that the extended limits cover services not listed in section 71116 (30453), so the beyond-statute reading now rests on the rules, not only on Georgetown CCF.</t>
        </is>
      </c>
      <c r="N31" s="12" t="inlineStr">
        <is>
          <t>verified — upgraded from verified with caveat: re-checked October 13, 2026: 91 FR 46562 (new permissible class; sunset of the second prong), 46581 (75/75 test discontinued for FFYs beginning on or after October 1, 2026), 30453 and 30456 match.</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33" s="12" t="inlineStr">
        <is>
          <t>verified with caveat - second limb is inference — re-checked October 13, 2026, second pass: reginfo.gov's review list shows each rule under review by RIN (it shows CMS-2450 today); the 'final rule is near' limb stays [I].</t>
        </is>
      </c>
    </row>
    <row r="34" ht="74.25" customHeight="1" s="10">
      <c r="A34" s="12" t="inlineStr">
        <is>
          <t>1. Rule mechanics</t>
        </is>
      </c>
      <c r="B34" s="13" t="inlineStr">
        <is>
          <t>RM-33</t>
        </is>
      </c>
      <c r="C34" s="12" t="inlineStr">
        <is>
          <t>Section 71117 is carried out by a final rule (CMS-2448-F), which CMS's provider tax estimates take into account and which CMS says does not significantly change them; Section 71117 concerns waivers of the requirement that provider taxes be uniform</t>
        </is>
      </c>
      <c r="D34" s="12" t="inlineStr">
        <is>
          <t>rule mechanic [E]</t>
        </is>
      </c>
      <c r="E34" s="12" t="inlineStr">
        <is>
          <t>CMS-2452-P; CMS-2448-F</t>
        </is>
      </c>
      <c r="F34" s="12" t="inlineStr">
        <is>
          <t>91 FR 46590 n. 23, 46592 (CMS-2452-P); 91 FR 4794 (CMS-2448-F); note sec. 1, App. C</t>
        </is>
      </c>
      <c r="G34" s="12" t="inlineStr">
        <is>
          <t>Note sec. 1; App. C 'Draft note, Section 71117'</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is>
      </c>
      <c r="N34" s="12" t="inlineStr">
        <is>
          <t>verified</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'Corrected' moves one CMS-2449-P letter that was filed in the CMS-2452-P docket</t>
        </is>
      </c>
      <c r="D37" s="12" t="inlineStr">
        <is>
          <t>contextual [E]</t>
        </is>
      </c>
      <c r="E37" s="12" t="inlineStr">
        <is>
          <t>regulations.gov (comment analyst's files)</t>
        </is>
      </c>
      <c r="F37" s="12" t="inlineStr">
        <is>
          <t>Note App. I, 'Draft methods note,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('Draft note, hold harmless')</t>
        </is>
      </c>
      <c r="G40" s="12" t="inlineStr">
        <is>
          <t>Note sec. 1, provider tax paragraph</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SDP preprint, the form it submits to get CMS's written prior approval for an SDP, lists funding sources by type and reports IGT dollars by transferring entity but no provider tax dollars</t>
        </is>
      </c>
      <c r="D46" s="12" t="inlineStr">
        <is>
          <t>rule mechanic [E]</t>
        </is>
      </c>
      <c r="E46" s="12" t="inlineStr">
        <is>
          <t>SDP preprint, Section VI</t>
        </is>
      </c>
      <c r="F46" s="12" t="inlineStr">
        <is>
          <t>SDP preprint, Section VI (financing fields); note sec. 7 step 3, App. C</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 VERIFIED October 14, 2026, third pass (verification_v4_log.md): SDP preprint template (user-supplied copy: de2d1011-Section_438.6c_Preprint.pdf), Section VI 'Funding for the Non-Federal Share', matched by script: Q34 asks the state to 'Check all that apply' among general revenue, IGTs, provider taxes, donations and other; Q35's Table 4 'IGT Transferring Entities' has a column 'Total Amounts Transferred by This Entity'; Q36's Table 5 'Health Care-Related Provider Tax/Assessment(s)' asks for the tax's name, class, broad-based, uniform, 6% and hold-harmless tests, and has no dollar column. Caveat: the copy is the January 2021 version of the template; a later revision was not checked.</t>
        </is>
      </c>
      <c r="N46" s="12" t="inlineStr">
        <is>
          <t>verified with caveat — the template read is the January 2021 version — re-checked October 14, 2026, third pass: Preprint Section VI matches (user-supplied copy: de2d1011-Section_438.6c_Preprint.pdf, January 2021 version): Q34 sources by checkbox; Table 4 IGT dollars by transferring entity; Table 5 provider taxes with no dollar column.</t>
        </is>
      </c>
    </row>
    <row r="47" ht="116.25" customHeight="1" s="10">
      <c r="A47" s="12" t="inlineStr">
        <is>
          <t>1. Rule mechanics</t>
        </is>
      </c>
      <c r="B47" s="13" t="inlineStr">
        <is>
          <t>RM-46</t>
        </is>
      </c>
      <c r="C47" s="12" t="inlineStr">
        <is>
          <t>Step 2 (a hospital's lower provider tax bill) is zero in non-expansion states unless the state enacted or raised the tax after July 4, 2025, since CMS says taxes not in place on that date could not continue past October 1, 2026; it is zero for a tax already at or below the threshold</t>
        </is>
      </c>
      <c r="D47" s="12" t="inlineStr">
        <is>
          <t>rule mechanic [E]/[I]</t>
        </is>
      </c>
      <c r="E47" s="12" t="inlineStr">
        <is>
          <t>CMS-2452-P</t>
        </is>
      </c>
      <c r="F47" s="12" t="inlineStr">
        <is>
          <t>91 FR 46589; note sec. 7 step 2</t>
        </is>
      </c>
      <c r="G47" s="12" t="inlineStr">
        <is>
          <t>Note sec. 7, step 2</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t>
        </is>
      </c>
      <c r="N47" s="12" t="inlineStr">
        <is>
          <t>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step 1 are its managed care remittances (what it receives), the state's approved preprint (each program's design) and the state's managed care contracts (when rating periods begin)</t>
        </is>
      </c>
      <c r="D49" s="12" t="inlineStr">
        <is>
          <t>contextual [I]</t>
        </is>
      </c>
      <c r="E49" s="12" t="inlineStr">
        <is>
          <t>[FIRM]</t>
        </is>
      </c>
      <c r="F49" s="12" t="inlineStr">
        <is>
          <t>Note App. C, 'Draft note, inputs for sec. 7, step 1';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21.75" customHeight="1" s="10">
      <c r="A52" s="12" t="inlineStr">
        <is>
          <t>2. CMS estimates</t>
        </is>
      </c>
      <c r="B52" s="13" t="inlineStr">
        <is>
          <t>CE-01</t>
        </is>
      </c>
      <c r="C52" s="12" t="inlineStr">
        <is>
          <t>CMS-2449-P projects a total computable reduction of $774.8B</t>
        </is>
      </c>
      <c r="D52" s="12" t="inlineStr">
        <is>
          <t>CMS estimate</t>
        </is>
      </c>
      <c r="E52" s="12" t="inlineStr">
        <is>
          <t>CMS-2449-P RIA</t>
        </is>
      </c>
      <c r="F52" s="12" t="inlineStr">
        <is>
          <t>Tables 18–20, 91 FR 30451–30452; R0146, R0177</t>
        </is>
      </c>
      <c r="G52" s="12" t="inlineStr">
        <is>
          <t>Table 18 total</t>
        </is>
      </c>
      <c r="H52" s="12" t="inlineStr">
        <is>
          <t>Reduction in total Medicaid outlays</t>
        </is>
      </c>
      <c r="I52" s="12" t="inlineStr">
        <is>
          <t>total computable</t>
        </is>
      </c>
      <c r="J52" s="12" t="inlineStr">
        <is>
          <t>FY2026–2035</t>
        </is>
      </c>
      <c r="K52" s="12" t="inlineStr">
        <is>
          <t>real 2026 dollars</t>
        </is>
      </c>
      <c r="L52" s="12" t="inlineStr">
        <is>
          <t>primary</t>
        </is>
      </c>
      <c r="M52" s="12" t="inlineStr">
        <is>
          <t>Internal: 510.1 + 264.7 = 774.8 exactly</t>
        </is>
      </c>
      <c r="N52" s="12" t="inlineStr">
        <is>
          <t>verified</t>
        </is>
      </c>
    </row>
    <row r="53" ht="84.75" customHeight="1" s="10">
      <c r="A53" s="12" t="inlineStr">
        <is>
          <t>2. CMS estimates</t>
        </is>
      </c>
      <c r="B53" s="13" t="inlineStr">
        <is>
          <t>CE-02</t>
        </is>
      </c>
      <c r="C53" s="12" t="inlineStr">
        <is>
          <t>Federal component $510.1B</t>
        </is>
      </c>
      <c r="D53" s="12" t="inlineStr">
        <is>
          <t>CMS estimate</t>
        </is>
      </c>
      <c r="E53" s="12" t="inlineStr">
        <is>
          <t>CMS-2449-P RIA</t>
        </is>
      </c>
      <c r="F53" s="12" t="inlineStr">
        <is>
          <t>Table 19, 91 FR 30452; R0177</t>
        </is>
      </c>
      <c r="G53" s="12" t="inlineStr">
        <is>
          <t>Table 19 total</t>
        </is>
      </c>
      <c r="H53" s="12" t="inlineStr">
        <is>
          <t>Reduction in federal Medicaid outlays</t>
        </is>
      </c>
      <c r="I53" s="12" t="inlineStr">
        <is>
          <t>federal only</t>
        </is>
      </c>
      <c r="J53" s="12" t="inlineStr">
        <is>
          <t>FY2026–2035</t>
        </is>
      </c>
      <c r="K53" s="12" t="inlineStr">
        <is>
          <t>real 2026 dollars</t>
        </is>
      </c>
      <c r="L53" s="12" t="inlineStr">
        <is>
          <t>primary</t>
        </is>
      </c>
      <c r="M53"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3" s="12" t="inlineStr">
        <is>
          <t>verified - R0177 confirmed against the reconciliation worksheet</t>
        </is>
      </c>
    </row>
    <row r="54" ht="63.75" customHeight="1" s="10">
      <c r="A54" s="12" t="inlineStr">
        <is>
          <t>2. CMS estimates</t>
        </is>
      </c>
      <c r="B54" s="13" t="inlineStr">
        <is>
          <t>CE-03</t>
        </is>
      </c>
      <c r="C54" s="12" t="inlineStr">
        <is>
          <t>The SDP rule's state component is $264.7B (the sum of Table 20's cells), not the $264.4B in CMS's text, because only the sum equals $774.8B less $510.1B</t>
        </is>
      </c>
      <c r="D54" s="12" t="inlineStr">
        <is>
          <t>CMS estimate + derived arithmetic [E]/[I]</t>
        </is>
      </c>
      <c r="E54" s="12" t="inlineStr">
        <is>
          <t>CMS-2449-P Table 20 cells; CMS-2452-P narrative</t>
        </is>
      </c>
      <c r="F54" s="12" t="inlineStr">
        <is>
          <t>Table 20, 91 FR 30452 (cells) vs the text at 91 FR 30452 (R0980); CMS-2452-P 91 FR 46592 (R1008); note sec. 3 (state paragraph), App. E</t>
        </is>
      </c>
      <c r="G54" s="12" t="inlineStr">
        <is>
          <t>Note sec. 3; App. E 'Draft note, text against tables'</t>
        </is>
      </c>
      <c r="H54" s="12" t="inlineStr">
        <is>
          <t>Reduction in state Medicaid outlays</t>
        </is>
      </c>
      <c r="I54" s="12" t="inlineStr">
        <is>
          <t>state only</t>
        </is>
      </c>
      <c r="J54" s="12" t="inlineStr">
        <is>
          <t>FY2026–2035</t>
        </is>
      </c>
      <c r="K54" s="12" t="inlineStr">
        <is>
          <t>real 2026 dollars</t>
        </is>
      </c>
      <c r="L54" s="12" t="inlineStr">
        <is>
          <t>primary</t>
        </is>
      </c>
      <c r="M54"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4" s="12" t="inlineStr">
        <is>
          <t>verified with caveat — CMS prints the state figure three ways across the two documents</t>
        </is>
      </c>
    </row>
    <row r="55" ht="53.25" customHeight="1" s="10">
      <c r="A55" s="12" t="inlineStr">
        <is>
          <t>2. CMS estimates</t>
        </is>
      </c>
      <c r="B55" s="13" t="inlineStr">
        <is>
          <t>CE-04</t>
        </is>
      </c>
      <c r="C55" s="12" t="inlineStr">
        <is>
          <t>Low scenario $408.4B; high scenario $989.7B</t>
        </is>
      </c>
      <c r="D55" s="12" t="inlineStr">
        <is>
          <t>CMS estimate [E]</t>
        </is>
      </c>
      <c r="E55" s="12" t="inlineStr">
        <is>
          <t>CMS-2449-P RIA</t>
        </is>
      </c>
      <c r="F55" s="12" t="inlineStr">
        <is>
          <t>91 FR 30453–30454; R0984, R0987; note App. D ('Draft note, SDP rule parameters')</t>
        </is>
      </c>
      <c r="G55" s="12" t="inlineStr">
        <is>
          <t>Note App. D</t>
        </is>
      </c>
      <c r="H55" s="12" t="inlineStr">
        <is>
          <t>Reduction in total Medicaid outlays</t>
        </is>
      </c>
      <c r="I55" s="12" t="inlineStr">
        <is>
          <t>total computable</t>
        </is>
      </c>
      <c r="J55" s="12" t="inlineStr">
        <is>
          <t>FY2026–2035</t>
        </is>
      </c>
      <c r="K55" s="12" t="inlineStr">
        <is>
          <t>real 2026 dollars</t>
        </is>
      </c>
      <c r="L55" s="12" t="inlineStr">
        <is>
          <t>low / high</t>
        </is>
      </c>
      <c r="M55"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5" s="12" t="inlineStr">
        <is>
          <t>verified</t>
        </is>
      </c>
    </row>
    <row r="56" ht="74.25" customHeight="1" s="10">
      <c r="A56" s="12" t="inlineStr">
        <is>
          <t>2. CMS estimates</t>
        </is>
      </c>
      <c r="B56" s="13" t="inlineStr">
        <is>
          <t>CE-05</t>
        </is>
      </c>
      <c r="C56" s="12" t="inlineStr">
        <is>
          <t>FFS targeted practitioner limit: −$2.44B</t>
        </is>
      </c>
      <c r="D56" s="12" t="inlineStr">
        <is>
          <t>CMS estimate [E]</t>
        </is>
      </c>
      <c r="E56" s="12" t="inlineStr">
        <is>
          <t>CMS-2449-P Table 27</t>
        </is>
      </c>
      <c r="F56" s="12" t="inlineStr">
        <is>
          <t>Table 27, 91 FR 30456; R0351; note sec. 1 (SDP table)</t>
        </is>
      </c>
      <c r="G56" s="12" t="inlineStr">
        <is>
          <t>Note sec. 1, SDP table</t>
        </is>
      </c>
      <c r="H56" s="12" t="inlineStr">
        <is>
          <t>Reduction in FFS practitioner payments</t>
        </is>
      </c>
      <c r="I56" s="12" t="inlineStr">
        <is>
          <t>total computable</t>
        </is>
      </c>
      <c r="J56" s="12" t="inlineStr">
        <is>
          <t>FY2029–2035</t>
        </is>
      </c>
      <c r="K56" s="12" t="inlineStr">
        <is>
          <t>real 2026 dollars</t>
        </is>
      </c>
      <c r="L56" s="12" t="inlineStr">
        <is>
          <t>primary</t>
        </is>
      </c>
      <c r="M56"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t>
        </is>
      </c>
      <c r="N56" s="12" t="inlineStr">
        <is>
          <t>verified — upgraded from single-source: re-checked October 13, 2026: 91 FR 30456 matches (−$2.44 billion, 2029–2035, total computable, real 2026 dollars; Table 27).</t>
        </is>
      </c>
    </row>
    <row r="57" ht="74.25" customHeight="1" s="10">
      <c r="A57" s="12" t="inlineStr">
        <is>
          <t>2. CMS estimates</t>
        </is>
      </c>
      <c r="B57" s="13" t="inlineStr">
        <is>
          <t>CE-06</t>
        </is>
      </c>
      <c r="C57" s="12" t="inlineStr">
        <is>
          <t>Extension to non-enumerated services: −$5.34B</t>
        </is>
      </c>
      <c r="D57" s="12" t="inlineStr">
        <is>
          <t>CMS estimate [E]</t>
        </is>
      </c>
      <c r="E57" s="12" t="inlineStr">
        <is>
          <t>CMS-2449-P RIA</t>
        </is>
      </c>
      <c r="F57" s="12" t="inlineStr">
        <is>
          <t>91 FR 30453; R0981; note sec. 1 (SDP table)</t>
        </is>
      </c>
      <c r="G57" s="12" t="inlineStr">
        <is>
          <t>Note sec. 1, SDP table</t>
        </is>
      </c>
      <c r="H57" s="12" t="inlineStr">
        <is>
          <t>Reduction in Medicaid outlays</t>
        </is>
      </c>
      <c r="I57" s="12" t="inlineStr">
        <is>
          <t>federal plus state spending</t>
        </is>
      </c>
      <c r="J57" s="12" t="inlineStr">
        <is>
          <t>FY2029–2035</t>
        </is>
      </c>
      <c r="K57" s="12" t="inlineStr">
        <is>
          <t>real 2026 dollars</t>
        </is>
      </c>
      <c r="L57" s="12" t="inlineStr">
        <is>
          <t>primary</t>
        </is>
      </c>
      <c r="M57"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t>
        </is>
      </c>
      <c r="N57" s="12" t="inlineStr">
        <is>
          <t>verified — upgraded from single-source: re-checked October 13, 2026: 91 FR 30453 matches (−$5.34 billion = federal $3.51 billion + state $1.83 billion, 2029–2035); the arithmetic closes.</t>
        </is>
      </c>
    </row>
    <row r="58" ht="32.25" customHeight="1" s="10">
      <c r="A58" s="12" t="inlineStr">
        <is>
          <t>2. CMS estimates</t>
        </is>
      </c>
      <c r="B58" s="13" t="inlineStr">
        <is>
          <t>CE-07</t>
        </is>
      </c>
      <c r="C58" s="12" t="inlineStr">
        <is>
          <t>CMS-2452-P standalone reduction $384.0B = $245.8B federal + $138.2B state</t>
        </is>
      </c>
      <c r="D58" s="12" t="inlineStr">
        <is>
          <t>CMS estimate</t>
        </is>
      </c>
      <c r="E58" s="12" t="inlineStr">
        <is>
          <t>CMS-2452-P Table 11</t>
        </is>
      </c>
      <c r="F58" s="12" t="inlineStr">
        <is>
          <t>Table 11, 91 FR 46591; R0669, R0647, R0658</t>
        </is>
      </c>
      <c r="G58" s="12" t="inlineStr">
        <is>
          <t>Table 11</t>
        </is>
      </c>
      <c r="H58" s="12" t="inlineStr">
        <is>
          <t>Reduction in Medicaid spending, excluding the SDP interaction</t>
        </is>
      </c>
      <c r="I58" s="12" t="inlineStr">
        <is>
          <t>total computable, split federal and state</t>
        </is>
      </c>
      <c r="J58" s="12" t="inlineStr">
        <is>
          <t>FY2026–2035</t>
        </is>
      </c>
      <c r="K58" s="12" t="inlineStr">
        <is>
          <t>real 2026 dollars</t>
        </is>
      </c>
      <c r="L58" s="12" t="inlineStr">
        <is>
          <t>primary, excluding interaction</t>
        </is>
      </c>
      <c r="M58" s="12" t="inlineStr">
        <is>
          <t>Internal: 245.8 + 138.2 = 384.0 exactly. HFMA reports the same two components (P4). Georgetown CCF independently reports the $245.8B federal figure and attributes it to CMS (C3)</t>
        </is>
      </c>
      <c r="N58" s="12" t="inlineStr">
        <is>
          <t>verified</t>
        </is>
      </c>
    </row>
    <row r="59" ht="21.75" customHeight="1" s="10">
      <c r="A59" s="12" t="inlineStr">
        <is>
          <t>2. CMS estimates</t>
        </is>
      </c>
      <c r="B59" s="13" t="inlineStr">
        <is>
          <t>CE-08</t>
        </is>
      </c>
      <c r="C59" s="12" t="inlineStr">
        <is>
          <t>New-tax freeze reduces state provider tax revenue $51.0B; threshold phase-down a further $147.7B; $198.7B combined</t>
        </is>
      </c>
      <c r="D59" s="12" t="inlineStr">
        <is>
          <t>CMS estimate</t>
        </is>
      </c>
      <c r="E59" s="12" t="inlineStr">
        <is>
          <t>CMS-2452-P Tables 6, 7, 8</t>
        </is>
      </c>
      <c r="F59" s="12" t="inlineStr">
        <is>
          <t>91 FR 46589–46590; R0526, R0537, R0548</t>
        </is>
      </c>
      <c r="G59" s="12" t="inlineStr">
        <is>
          <t>Tables 6–8</t>
        </is>
      </c>
      <c r="H59" s="12" t="inlineStr">
        <is>
          <t>State tax revenue no longer collected</t>
        </is>
      </c>
      <c r="I59" s="12" t="inlineStr">
        <is>
          <t>state only</t>
        </is>
      </c>
      <c r="J59" s="12" t="inlineStr">
        <is>
          <t>FY2026–2035</t>
        </is>
      </c>
      <c r="K59" s="12" t="inlineStr">
        <is>
          <t>real 2026 dollars</t>
        </is>
      </c>
      <c r="L59" s="12" t="inlineStr">
        <is>
          <t>primary</t>
        </is>
      </c>
      <c r="M59" s="12" t="inlineStr">
        <is>
          <t>Internal: 51.0 + 147.7 = 198.7 exactly. Georgetown CCF independently reports $198.7B, attributed to CMS (C3)</t>
        </is>
      </c>
      <c r="N59" s="12" t="inlineStr">
        <is>
          <t>verified</t>
        </is>
      </c>
    </row>
    <row r="60" ht="21.75" customHeight="1" s="10">
      <c r="A60" s="12" t="inlineStr">
        <is>
          <t>2. CMS estimates</t>
        </is>
      </c>
      <c r="B60" s="13" t="inlineStr">
        <is>
          <t>CE-09</t>
        </is>
      </c>
      <c r="C60" s="12" t="inlineStr">
        <is>
          <t>Table 8 allocates the $198.7B as $163.7B to providers and $35.0B to private payers</t>
        </is>
      </c>
      <c r="D60" s="12" t="inlineStr">
        <is>
          <t>CMS estimate</t>
        </is>
      </c>
      <c r="E60" s="12" t="inlineStr">
        <is>
          <t>CMS-2452-P Table 8</t>
        </is>
      </c>
      <c r="F60" s="12" t="inlineStr">
        <is>
          <t>Table 8, 91 FR 46590; R0559, R0570</t>
        </is>
      </c>
      <c r="G60" s="12" t="inlineStr">
        <is>
          <t>Table 8</t>
        </is>
      </c>
      <c r="H60" s="12" t="inlineStr">
        <is>
          <t>Incidence of the tax reduction</t>
        </is>
      </c>
      <c r="I60" s="12" t="inlineStr">
        <is>
          <t>provider aggregate and private payers</t>
        </is>
      </c>
      <c r="J60" s="12" t="inlineStr">
        <is>
          <t>FY2026–2035</t>
        </is>
      </c>
      <c r="K60" s="12" t="inlineStr">
        <is>
          <t>real 2026 dollars</t>
        </is>
      </c>
      <c r="L60" s="12" t="inlineStr">
        <is>
          <t>primary</t>
        </is>
      </c>
      <c r="M60" s="12" t="inlineStr">
        <is>
          <t>Internal: 163.7 + 35.0 = 198.7 exactly. HFMA independently reports the $163.7B (P4, C3)</t>
        </is>
      </c>
      <c r="N60" s="12" t="inlineStr">
        <is>
          <t>verified</t>
        </is>
      </c>
    </row>
    <row r="61" ht="32.25" customHeight="1" s="10">
      <c r="A61" s="12" t="inlineStr">
        <is>
          <t>2. CMS estimates</t>
        </is>
      </c>
      <c r="B61" s="13" t="inlineStr">
        <is>
          <t>CE-10</t>
        </is>
      </c>
      <c r="C61" s="12" t="inlineStr">
        <is>
          <t>Table 12, excluding the SDP interaction: federal +$245.8B, states −$60.5B, providers −$220.3B, private payers +$35.0B</t>
        </is>
      </c>
      <c r="D61" s="12" t="inlineStr">
        <is>
          <t>CMS estimate</t>
        </is>
      </c>
      <c r="E61" s="12" t="inlineStr">
        <is>
          <t>CMS-2452-P Table 12</t>
        </is>
      </c>
      <c r="F61" s="12" t="inlineStr">
        <is>
          <t>Table 12, 91 FR 46592; R0680, R0691, R0702, R0713</t>
        </is>
      </c>
      <c r="G61" s="12" t="inlineStr">
        <is>
          <t>Table 12</t>
        </is>
      </c>
      <c r="H61" s="12" t="inlineStr">
        <is>
          <t>Distributional transfer account</t>
        </is>
      </c>
      <c r="I61" s="12" t="inlineStr">
        <is>
          <t>all four parties</t>
        </is>
      </c>
      <c r="J61" s="12" t="inlineStr">
        <is>
          <t>FY2026–2035</t>
        </is>
      </c>
      <c r="K61" s="12" t="inlineStr">
        <is>
          <t>real 2026 dollars</t>
        </is>
      </c>
      <c r="L61" s="12" t="inlineStr">
        <is>
          <t>primary, excluding interaction</t>
        </is>
      </c>
      <c r="M61" s="12" t="inlineStr">
        <is>
          <t>Internal: the four printed entries sum to exactly 0.0. States row = 138.2 − 198.7 = −60.5. Providers row = 384.0 − 163.7 = 220.3. Both close to the decimal</t>
        </is>
      </c>
      <c r="N61" s="12" t="inlineStr">
        <is>
          <t>verified</t>
        </is>
      </c>
    </row>
    <row r="62" ht="21.75" customHeight="1" s="10">
      <c r="A62" s="12" t="inlineStr">
        <is>
          <t>2. CMS estimates</t>
        </is>
      </c>
      <c r="B62" s="13" t="inlineStr">
        <is>
          <t>CE-11</t>
        </is>
      </c>
      <c r="C62" s="12" t="inlineStr">
        <is>
          <t>Table 14, including the SDP interaction: federal +$90.9B, states −$147.5B, providers +$21.7B, private payers +$35.0B</t>
        </is>
      </c>
      <c r="D62" s="12" t="inlineStr">
        <is>
          <t>CMS estimate</t>
        </is>
      </c>
      <c r="E62" s="12" t="inlineStr">
        <is>
          <t>CMS-2452-P Table 14</t>
        </is>
      </c>
      <c r="F62" s="12" t="inlineStr">
        <is>
          <t>Table 14, 91 FR 46593; R0757, R0768, R0779, R0790</t>
        </is>
      </c>
      <c r="G62" s="12" t="inlineStr">
        <is>
          <t>Table 14</t>
        </is>
      </c>
      <c r="H62" s="12" t="inlineStr">
        <is>
          <t>Distributional transfer account</t>
        </is>
      </c>
      <c r="I62" s="12" t="inlineStr">
        <is>
          <t>all four parties</t>
        </is>
      </c>
      <c r="J62" s="12" t="inlineStr">
        <is>
          <t>FY2026–2035</t>
        </is>
      </c>
      <c r="K62" s="12" t="inlineStr">
        <is>
          <t>real 2026 dollars</t>
        </is>
      </c>
      <c r="L62" s="12" t="inlineStr">
        <is>
          <t>primary, including interaction</t>
        </is>
      </c>
      <c r="M62" s="12" t="inlineStr">
        <is>
          <t>Internal: entries sum to +0.1, inside the stated noise floor. Federal = 245.8 − 154.9 = 90.9 exactly; states = −60.5 − 87.0 = −147.5 exactly</t>
        </is>
      </c>
      <c r="N62" s="12" t="inlineStr">
        <is>
          <t>verified</t>
        </is>
      </c>
    </row>
    <row r="63" ht="32.25" customHeight="1" s="10">
      <c r="A63" s="12" t="inlineStr">
        <is>
          <t>2. CMS estimates</t>
        </is>
      </c>
      <c r="B63" s="13" t="inlineStr">
        <is>
          <t>CE-12</t>
        </is>
      </c>
      <c r="C63" s="12" t="inlineStr">
        <is>
          <t>Tables 12 and 14 differ only in their treatment of the SDP-rule interaction: same parties, same scenario, opposite sides of the overlap</t>
        </is>
      </c>
      <c r="D63" s="12" t="inlineStr">
        <is>
          <t>derived arithmetic</t>
        </is>
      </c>
      <c r="E63" s="12" t="inlineStr">
        <is>
          <t>CMS-2452-P Tables 12, 14</t>
        </is>
      </c>
      <c r="F63" s="12" t="inlineStr">
        <is>
          <t>91 FR 46592–46593</t>
        </is>
      </c>
      <c r="G63" s="12" t="inlineStr">
        <is>
          <t>Both tables</t>
        </is>
      </c>
      <c r="H63" s="12" t="inlineStr">
        <is>
          <t>Basis distinction between two transfer accounts</t>
        </is>
      </c>
      <c r="I63" s="12" t="inlineStr">
        <is>
          <t>provider aggregate and government</t>
        </is>
      </c>
      <c r="J63" s="12" t="inlineStr">
        <is>
          <t>FY2026–2035</t>
        </is>
      </c>
      <c r="K63" s="12" t="inlineStr">
        <is>
          <t>real 2026 dollars</t>
        </is>
      </c>
      <c r="L63" s="12" t="inlineStr">
        <is>
          <t>primary, both sides of the overlap</t>
        </is>
      </c>
      <c r="M63" s="12" t="inlineStr">
        <is>
          <t>Internal: each row differs from its counterpart by exactly its overlap component — federal 154.9, state 87.0, providers 241.9, private payers 0</t>
        </is>
      </c>
      <c r="N63" s="12" t="inlineStr">
        <is>
          <t>verified</t>
        </is>
      </c>
    </row>
    <row r="64" ht="147.75" customHeight="1" s="10">
      <c r="A64" s="12" t="inlineStr">
        <is>
          <t>2. CMS estimates</t>
        </is>
      </c>
      <c r="B64" s="13" t="inlineStr">
        <is>
          <t>CE-13</t>
        </is>
      </c>
      <c r="C64" s="12" t="inlineStr">
        <is>
          <t>The provider line in each table is a net figure, not a gross payment reduction</t>
        </is>
      </c>
      <c r="D64" s="12" t="inlineStr">
        <is>
          <t>derived arithmetic</t>
        </is>
      </c>
      <c r="E64" s="12" t="inlineStr">
        <is>
          <t>CMS-2452-P Tables 8, 11, 12, 14</t>
        </is>
      </c>
      <c r="F64" s="12" t="inlineStr">
        <is>
          <t>91 FR 46590–46593</t>
        </is>
      </c>
      <c r="G64" s="12" t="inlineStr">
        <is>
          <t>Note sec. 2.1</t>
        </is>
      </c>
      <c r="H64" s="12" t="inlineStr">
        <is>
          <t>Identification of how the provider row is constructed</t>
        </is>
      </c>
      <c r="I64" s="12" t="inlineStr">
        <is>
          <t>provider aggregate</t>
        </is>
      </c>
      <c r="J64" s="12" t="inlineStr">
        <is>
          <t>FY2026–2035</t>
        </is>
      </c>
      <c r="K64" s="12" t="inlineStr">
        <is>
          <t>real 2026 dollars</t>
        </is>
      </c>
      <c r="L64" s="12" t="inlineStr">
        <is>
          <t>primary</t>
        </is>
      </c>
      <c r="M64"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4" s="12" t="inlineStr">
        <is>
          <t>SUPERSEDED — transfer-table argument withdrawn as unsound; replaced by CE-36 and CE-37</t>
        </is>
      </c>
    </row>
    <row r="65" ht="32.25" customHeight="1" s="10">
      <c r="A65" s="12" t="inlineStr">
        <is>
          <t>2. CMS estimates</t>
        </is>
      </c>
      <c r="B65" s="13" t="inlineStr">
        <is>
          <t>CE-14</t>
        </is>
      </c>
      <c r="C65" s="12" t="inlineStr">
        <is>
          <t>$241.9B of provider payment reduction is already attributed to the SDP rule</t>
        </is>
      </c>
      <c r="D65" s="12" t="inlineStr">
        <is>
          <t>CMS estimate</t>
        </is>
      </c>
      <c r="E65" s="12" t="inlineStr">
        <is>
          <t>CMS-2452-P</t>
        </is>
      </c>
      <c r="F65" s="12" t="inlineStr">
        <is>
          <t>91 FR 46592; R1010</t>
        </is>
      </c>
      <c r="G65" s="12" t="inlineStr">
        <is>
          <t>"The difference ($241.9 billion) represents the amount of provider payment reductions already attributed to the reduction in SDPs"</t>
        </is>
      </c>
      <c r="H65" s="12" t="inlineStr">
        <is>
          <t>Overlap between the two rules</t>
        </is>
      </c>
      <c r="I65" s="12" t="inlineStr">
        <is>
          <t>total computable</t>
        </is>
      </c>
      <c r="J65" s="12" t="inlineStr">
        <is>
          <t>FY2026–2035</t>
        </is>
      </c>
      <c r="K65" s="12" t="inlineStr">
        <is>
          <t>real 2026 dollars</t>
        </is>
      </c>
      <c r="L65" s="12" t="inlineStr">
        <is>
          <t>primary</t>
        </is>
      </c>
      <c r="M65" s="12" t="inlineStr">
        <is>
          <t>Internal: 384.0 − 142.1 = 241.9 and 154.9 + 87.0 = 241.9, both exact</t>
        </is>
      </c>
      <c r="N65" s="12" t="inlineStr">
        <is>
          <t>verified</t>
        </is>
      </c>
    </row>
    <row r="66" ht="21.75" customHeight="1" s="10">
      <c r="A66" s="12" t="inlineStr">
        <is>
          <t>2. CMS estimates</t>
        </is>
      </c>
      <c r="B66" s="13" t="inlineStr">
        <is>
          <t>CE-15</t>
        </is>
      </c>
      <c r="C66" s="12" t="inlineStr">
        <is>
          <t>The overlap splits $154.9B federal and $87.0B state</t>
        </is>
      </c>
      <c r="D66" s="12" t="inlineStr">
        <is>
          <t>CMS estimate</t>
        </is>
      </c>
      <c r="E66" s="12" t="inlineStr">
        <is>
          <t>CMS-2452-P</t>
        </is>
      </c>
      <c r="F66" s="12" t="inlineStr">
        <is>
          <t>91 FR 46592; R1011</t>
        </is>
      </c>
      <c r="G66" s="12" t="inlineStr">
        <is>
          <t>Narrative</t>
        </is>
      </c>
      <c r="H66" s="12" t="inlineStr">
        <is>
          <t>Federal and state components of the overlap</t>
        </is>
      </c>
      <c r="I66" s="12" t="inlineStr">
        <is>
          <t>federal and state</t>
        </is>
      </c>
      <c r="J66" s="12" t="inlineStr">
        <is>
          <t>FY2026–2035</t>
        </is>
      </c>
      <c r="K66" s="12" t="inlineStr">
        <is>
          <t>real 2026 dollars</t>
        </is>
      </c>
      <c r="L66" s="12" t="inlineStr">
        <is>
          <t>primary</t>
        </is>
      </c>
      <c r="M66" s="12" t="inlineStr">
        <is>
          <t>Internal: sums to 241.9 and flows into Table 14's federal and state rows exactly</t>
        </is>
      </c>
      <c r="N66" s="12" t="inlineStr">
        <is>
          <t>verified</t>
        </is>
      </c>
    </row>
    <row r="67" ht="21.75" customHeight="1" s="10">
      <c r="A67" s="12" t="inlineStr">
        <is>
          <t>2. CMS estimates</t>
        </is>
      </c>
      <c r="B67" s="13" t="inlineStr">
        <is>
          <t>CE-16</t>
        </is>
      </c>
      <c r="C67" s="12" t="inlineStr">
        <is>
          <t>The interaction-adjusted payment reduction attributable to CMS-2452-P is $142.1B</t>
        </is>
      </c>
      <c r="D67" s="12" t="inlineStr">
        <is>
          <t>CMS estimate</t>
        </is>
      </c>
      <c r="E67" s="12" t="inlineStr">
        <is>
          <t>CMS-2452-P</t>
        </is>
      </c>
      <c r="F67" s="12" t="inlineStr">
        <is>
          <t>91 FR 46592; R1009</t>
        </is>
      </c>
      <c r="G67" s="12" t="inlineStr">
        <is>
          <t>Narrative</t>
        </is>
      </c>
      <c r="H67" s="12" t="inlineStr">
        <is>
          <t>Incremental provider payment reduction</t>
        </is>
      </c>
      <c r="I67" s="12" t="inlineStr">
        <is>
          <t>provider aggregate</t>
        </is>
      </c>
      <c r="J67" s="12" t="inlineStr">
        <is>
          <t>FY2026–2035</t>
        </is>
      </c>
      <c r="K67" s="12" t="inlineStr">
        <is>
          <t>real 2026 dollars</t>
        </is>
      </c>
      <c r="L67" s="12" t="inlineStr">
        <is>
          <t>primary, including interaction</t>
        </is>
      </c>
      <c r="M67" s="12" t="inlineStr">
        <is>
          <t>Internal: 384.0 − 241.9 = 142.1 exactly</t>
        </is>
      </c>
      <c r="N67" s="12" t="inlineStr">
        <is>
          <t>verified</t>
        </is>
      </c>
    </row>
    <row r="68" ht="74.25" customHeight="1" s="10">
      <c r="A68" s="12" t="inlineStr">
        <is>
          <t>2. CMS estimates</t>
        </is>
      </c>
      <c r="B68" s="13" t="inlineStr">
        <is>
          <t>CE-17</t>
        </is>
      </c>
      <c r="C68" s="12" t="inlineStr">
        <is>
          <t>The bridge closes two independent ways: −220.3 + 241.9 = 21.6, printed 21.7; and 163.7 − 142.1 = 21.6, printed 21.7</t>
        </is>
      </c>
      <c r="D68" s="12" t="inlineStr">
        <is>
          <t>derived arithmetic [I]</t>
        </is>
      </c>
      <c r="E68" s="12" t="inlineStr">
        <is>
          <t>CMS-2452-P Tables 8, 12, 14 and narrative</t>
        </is>
      </c>
      <c r="F68" s="12" t="inlineStr">
        <is>
          <t>91 FR 46590–46593</t>
        </is>
      </c>
      <c r="G68" s="12" t="inlineStr">
        <is>
          <t>Note sec. 2.2</t>
        </is>
      </c>
      <c r="H68" s="12" t="inlineStr">
        <is>
          <t>Two independent reconciliations of the same printed figure</t>
        </is>
      </c>
      <c r="I68" s="12" t="inlineStr">
        <is>
          <t>provider aggregate</t>
        </is>
      </c>
      <c r="J68" s="12" t="inlineStr">
        <is>
          <t>FY2026–2035</t>
        </is>
      </c>
      <c r="K68" s="12" t="inlineStr">
        <is>
          <t>real 2026 dollars</t>
        </is>
      </c>
      <c r="L68" s="12" t="inlineStr">
        <is>
          <t>primary</t>
        </is>
      </c>
      <c r="M68"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68" s="12" t="inlineStr">
        <is>
          <t>verified</t>
        </is>
      </c>
    </row>
    <row r="69" ht="21.75" customHeight="1" s="10">
      <c r="A69" s="12" t="inlineStr">
        <is>
          <t>2. CMS estimates</t>
        </is>
      </c>
      <c r="B69" s="13" t="inlineStr">
        <is>
          <t>CE-18</t>
        </is>
      </c>
      <c r="C69" s="12" t="inlineStr">
        <is>
          <t>Including the interaction, the net provider figure runs +$149.6B low, +$21.7B primary, −$136.1B high</t>
        </is>
      </c>
      <c r="D69" s="12" t="inlineStr">
        <is>
          <t>CMS estimate</t>
        </is>
      </c>
      <c r="E69" s="12" t="inlineStr">
        <is>
          <t>CMS-2452-P Tables 18, 14, 16</t>
        </is>
      </c>
      <c r="F69" s="12" t="inlineStr">
        <is>
          <t>91 FR 46593–46594; R0955, R0779, R0867</t>
        </is>
      </c>
      <c r="G69" s="12" t="inlineStr">
        <is>
          <t>Tables 18, 14, 16</t>
        </is>
      </c>
      <c r="H69" s="12" t="inlineStr">
        <is>
          <t>Net provider position</t>
        </is>
      </c>
      <c r="I69" s="12" t="inlineStr">
        <is>
          <t>provider aggregate</t>
        </is>
      </c>
      <c r="J69" s="12" t="inlineStr">
        <is>
          <t>FY2026–2035</t>
        </is>
      </c>
      <c r="K69" s="12" t="inlineStr">
        <is>
          <t>real 2026 dollars</t>
        </is>
      </c>
      <c r="L69" s="12" t="inlineStr">
        <is>
          <t>low / primary / high</t>
        </is>
      </c>
      <c r="M69" s="12" t="inlineStr">
        <is>
          <t>Internal: the range crosses zero, which is the note's load-bearing point at sec. 2.4</t>
        </is>
      </c>
      <c r="N69" s="12" t="inlineStr">
        <is>
          <t>verified</t>
        </is>
      </c>
    </row>
    <row r="70" ht="74.25" customHeight="1" s="10">
      <c r="A70" s="12" t="inlineStr">
        <is>
          <t>2. CMS estimates</t>
        </is>
      </c>
      <c r="B70" s="13" t="inlineStr">
        <is>
          <t>CE-19</t>
        </is>
      </c>
      <c r="C70" s="12" t="inlineStr">
        <is>
          <t>Excluding the interaction, the same three scenarios run −$135.0B, −$220.3B, −$316.5B</t>
        </is>
      </c>
      <c r="D70" s="12" t="inlineStr">
        <is>
          <t>CMS estimate</t>
        </is>
      </c>
      <c r="E70" s="12" t="inlineStr">
        <is>
          <t>CMS-2452-P</t>
        </is>
      </c>
      <c r="F70" s="12" t="inlineStr">
        <is>
          <t>R0911, R0702, R0823; 91 FR 46592–46594</t>
        </is>
      </c>
      <c r="G70" s="12" t="inlineStr">
        <is>
          <t>Tables 17, 12, 15 area</t>
        </is>
      </c>
      <c r="H70" s="12" t="inlineStr">
        <is>
          <t>Net provider position, standalone</t>
        </is>
      </c>
      <c r="I70" s="12" t="inlineStr">
        <is>
          <t>provider aggregate</t>
        </is>
      </c>
      <c r="J70" s="12" t="inlineStr">
        <is>
          <t>FY2026–2035</t>
        </is>
      </c>
      <c r="K70" s="12" t="inlineStr">
        <is>
          <t>real 2026 dollars</t>
        </is>
      </c>
      <c r="L70" s="12" t="inlineStr">
        <is>
          <t>low / primary / high</t>
        </is>
      </c>
      <c r="M70"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0" s="12" t="inlineStr">
        <is>
          <t>verified - the scenario qualifier the earlier ledger flagged as missing is now in the note</t>
        </is>
      </c>
    </row>
    <row r="71" ht="231" customHeight="1" s="10">
      <c r="A71" s="12" t="inlineStr">
        <is>
          <t>2. CMS estimates</t>
        </is>
      </c>
      <c r="B71" s="13" t="inlineStr">
        <is>
          <t>CE-20</t>
        </is>
      </c>
      <c r="C71"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1" s="12" t="inlineStr">
        <is>
          <t>CMS estimate (assumption)</t>
        </is>
      </c>
      <c r="E71" s="12" t="inlineStr">
        <is>
          <t>CMS-2452-P</t>
        </is>
      </c>
      <c r="F71" s="12" t="inlineStr">
        <is>
          <t>91 FR 46592; R1012</t>
        </is>
      </c>
      <c r="G71" s="12" t="inlineStr">
        <is>
          <t>Narrative</t>
        </is>
      </c>
      <c r="H71" s="12" t="inlineStr">
        <is>
          <t>Share of SDPs financed by provider taxes; the parameter that drives the overlap</t>
        </is>
      </c>
      <c r="I71" s="12" t="inlineStr">
        <is>
          <t>total computable</t>
        </is>
      </c>
      <c r="J71" s="12" t="inlineStr">
        <is>
          <t>n/a</t>
        </is>
      </c>
      <c r="K71" s="12" t="inlineStr">
        <is>
          <t>n/a</t>
        </is>
      </c>
      <c r="L71" s="12" t="inlineStr">
        <is>
          <t>primary</t>
        </is>
      </c>
      <c r="M71"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1" s="12" t="inlineStr">
        <is>
          <t>SUPERSEDED — wording and range derivation restated; replaced by CE-48 and CE-49</t>
        </is>
      </c>
    </row>
    <row r="72" ht="21.75" customHeight="1" s="10">
      <c r="A72" s="12" t="inlineStr">
        <is>
          <t>2. CMS estimates</t>
        </is>
      </c>
      <c r="B72" s="13" t="inlineStr">
        <is>
          <t>CE-21</t>
        </is>
      </c>
      <c r="C72" s="12" t="inlineStr">
        <is>
          <t>CMS assigns $35.0B of the tax reduction to private payers rather than providers</t>
        </is>
      </c>
      <c r="D72" s="12" t="inlineStr">
        <is>
          <t>CMS estimate</t>
        </is>
      </c>
      <c r="E72" s="12" t="inlineStr">
        <is>
          <t>CMS-2452-P Table 8</t>
        </is>
      </c>
      <c r="F72" s="12" t="inlineStr">
        <is>
          <t>Table 8, 91 FR 46590; R0570</t>
        </is>
      </c>
      <c r="G72" s="12" t="inlineStr">
        <is>
          <t>Table 8</t>
        </is>
      </c>
      <c r="H72" s="12" t="inlineStr">
        <is>
          <t>Portion of tax relief assumed to pass through to commercial prices</t>
        </is>
      </c>
      <c r="I72" s="12" t="inlineStr">
        <is>
          <t>private payers</t>
        </is>
      </c>
      <c r="J72" s="12" t="inlineStr">
        <is>
          <t>FY2026–2035</t>
        </is>
      </c>
      <c r="K72" s="12" t="inlineStr">
        <is>
          <t>real 2026 dollars</t>
        </is>
      </c>
      <c r="L72" s="12" t="inlineStr">
        <is>
          <t>primary</t>
        </is>
      </c>
      <c r="M72" s="12" t="inlineStr">
        <is>
          <t>ASPE's price-side finding is the qualitative counterpart (TP-13, V1); no numerical reconciliation between them is possible</t>
        </is>
      </c>
      <c r="N72" s="12" t="inlineStr">
        <is>
          <t>verified</t>
        </is>
      </c>
    </row>
    <row r="73" ht="116.25" customHeight="1" s="10">
      <c r="A73" s="12" t="inlineStr">
        <is>
          <t>2. CMS estimates</t>
        </is>
      </c>
      <c r="B73" s="13" t="inlineStr">
        <is>
          <t>CE-22</t>
        </is>
      </c>
      <c r="C73" s="12" t="inlineStr">
        <is>
          <t>The $35.0B private payer line is a different quantity from the $28.1B of 2026 MCO provider tax revenue</t>
        </is>
      </c>
      <c r="D73" s="12" t="inlineStr">
        <is>
          <t>derived arithmetic</t>
        </is>
      </c>
      <c r="E73" s="12" t="inlineStr">
        <is>
          <t>CMS-2452-P Tables 4 and 8</t>
        </is>
      </c>
      <c r="F73" s="12" t="inlineStr">
        <is>
          <t>91 FR 46589–46590; R1004, R0570</t>
        </is>
      </c>
      <c r="G73" s="12" t="inlineStr">
        <is>
          <t>Tables 4, 8</t>
        </is>
      </c>
      <c r="H73" s="12" t="inlineStr">
        <is>
          <t>Two unrelated quantities that invite confusion</t>
        </is>
      </c>
      <c r="I73" s="12" t="inlineStr">
        <is>
          <t>private payers vs MCO tax class</t>
        </is>
      </c>
      <c r="J73" s="12" t="inlineStr">
        <is>
          <t>ten years vs CY2026</t>
        </is>
      </c>
      <c r="K73" s="12" t="inlineStr">
        <is>
          <t>real 2026 vs unstated</t>
        </is>
      </c>
      <c r="L73" s="12" t="inlineStr">
        <is>
          <t>primary</t>
        </is>
      </c>
      <c r="M73"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3" s="12" t="inlineStr">
        <is>
          <t>SUPERSEDED — no longer a note claim; no replacement row</t>
        </is>
      </c>
    </row>
    <row r="74" ht="32.25" customHeight="1" s="10">
      <c r="A74" s="12" t="inlineStr">
        <is>
          <t>2. CMS estimates</t>
        </is>
      </c>
      <c r="B74" s="13" t="inlineStr">
        <is>
          <t>CE-23</t>
        </is>
      </c>
      <c r="C74" s="12" t="inlineStr">
        <is>
          <t>Table 13 prints −$246.7B as its ten-year state total while its own annual cells sum to −$264.7B and match CMS-2449-P's Table 20 cell for cell</t>
        </is>
      </c>
      <c r="D74" s="12" t="inlineStr">
        <is>
          <t>CMS estimate (internal discrepancy)</t>
        </is>
      </c>
      <c r="E74" s="12" t="inlineStr">
        <is>
          <t>CMS-2452-P Table 13</t>
        </is>
      </c>
      <c r="F74" s="12" t="inlineStr">
        <is>
          <t>Table 13, 91 FR 46593; R0735</t>
        </is>
      </c>
      <c r="G74" s="12" t="inlineStr">
        <is>
          <t>Table 13</t>
        </is>
      </c>
      <c r="H74" s="12" t="inlineStr">
        <is>
          <t>An inconsistency between a printed total and its own cells</t>
        </is>
      </c>
      <c r="I74" s="12" t="inlineStr">
        <is>
          <t>state only</t>
        </is>
      </c>
      <c r="J74" s="12" t="inlineStr">
        <is>
          <t>FY2026–2035</t>
        </is>
      </c>
      <c r="K74" s="12" t="inlineStr">
        <is>
          <t>real 2026 dollars</t>
        </is>
      </c>
      <c r="L74" s="12" t="inlineStr">
        <is>
          <t>primary</t>
        </is>
      </c>
      <c r="M74" s="12" t="inlineStr">
        <is>
          <t>Internal: consistent with CE-03. The note's Limitations records all thirty annual cells checked and matching</t>
        </is>
      </c>
      <c r="N74" s="12" t="inlineStr">
        <is>
          <t>verified — CMS printing error</t>
        </is>
      </c>
    </row>
    <row r="75" ht="21.75" customHeight="1" s="10">
      <c r="A75" s="12" t="inlineStr">
        <is>
          <t>2. CMS estimates</t>
        </is>
      </c>
      <c r="B75" s="13" t="inlineStr">
        <is>
          <t>CE-24</t>
        </is>
      </c>
      <c r="C75" s="12" t="inlineStr">
        <is>
          <t>$264.4B is also the figure CMS gives for the state impact of Alternative Scenario 2, seven pages later</t>
        </is>
      </c>
      <c r="D75" s="12" t="inlineStr">
        <is>
          <t>CMS estimate</t>
        </is>
      </c>
      <c r="E75" s="12" t="inlineStr">
        <is>
          <t>CMS-2449-P</t>
        </is>
      </c>
      <c r="F75" s="12" t="inlineStr">
        <is>
          <t>91 FR 30459; R0999</t>
        </is>
      </c>
      <c r="G75" s="12" t="inlineStr">
        <is>
          <t>Narrative</t>
        </is>
      </c>
      <c r="H75" s="12" t="inlineStr">
        <is>
          <t>The same numeral carrying two meanings within one rule</t>
        </is>
      </c>
      <c r="I75" s="12" t="inlineStr">
        <is>
          <t>state only</t>
        </is>
      </c>
      <c r="J75" s="12" t="inlineStr">
        <is>
          <t>FY2026–2035</t>
        </is>
      </c>
      <c r="K75" s="12" t="inlineStr">
        <is>
          <t>real 2026 dollars</t>
        </is>
      </c>
      <c r="L75" s="12" t="inlineStr">
        <is>
          <t>alternative 2</t>
        </is>
      </c>
      <c r="M75" s="12" t="inlineStr">
        <is>
          <t>Internal: identical to the primary-scenario narrative state figure at 91 FR 30452</t>
        </is>
      </c>
      <c r="N75" s="12" t="inlineStr">
        <is>
          <t>verified</t>
        </is>
      </c>
    </row>
    <row r="76" ht="74.25" customHeight="1" s="10">
      <c r="A76" s="12" t="inlineStr">
        <is>
          <t>2. CMS estimates</t>
        </is>
      </c>
      <c r="B76" s="13" t="inlineStr">
        <is>
          <t>CE-25</t>
        </is>
      </c>
      <c r="C76"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76" s="12" t="inlineStr">
        <is>
          <t>derived arithmetic [E]/[I]</t>
        </is>
      </c>
      <c r="E76" s="12" t="inlineStr">
        <is>
          <t>CMS-2449-P</t>
        </is>
      </c>
      <c r="F76" s="12" t="inlineStr">
        <is>
          <t>91 FR 30452, 30454; note App. E ('Draft note, text against tables'); App. D</t>
        </is>
      </c>
      <c r="G76" s="12" t="inlineStr">
        <is>
          <t>Note App. E</t>
        </is>
      </c>
      <c r="H76" s="12" t="inlineStr">
        <is>
          <t>Narrative-to-table differences in the SDP rule's state figures</t>
        </is>
      </c>
      <c r="I76" s="12" t="inlineStr">
        <is>
          <t>state only</t>
        </is>
      </c>
      <c r="J76" s="12" t="inlineStr">
        <is>
          <t>FY2026–2035</t>
        </is>
      </c>
      <c r="K76" s="12" t="inlineStr">
        <is>
          <t>real 2026 dollars</t>
        </is>
      </c>
      <c r="L76" s="12" t="inlineStr">
        <is>
          <t>high / alternative 1</t>
        </is>
      </c>
      <c r="M76"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76" s="12" t="inlineStr">
        <is>
          <t>verified</t>
        </is>
      </c>
    </row>
    <row r="77" ht="126.75" customHeight="1" s="10">
      <c r="A77" s="12" t="inlineStr">
        <is>
          <t>2. CMS estimates</t>
        </is>
      </c>
      <c r="B77" s="13" t="inlineStr">
        <is>
          <t>CE-26</t>
        </is>
      </c>
      <c r="C77" s="12" t="inlineStr">
        <is>
          <t>For inpatient care, commercial insurers pay 1.89 times Medicare in CMS's central estimate, 1.37 times in the low-savings estimate and 2.55 times in the high-savings estimate</t>
        </is>
      </c>
      <c r="D77" s="12" t="inlineStr">
        <is>
          <t>CMS estimate (assumption) [E]</t>
        </is>
      </c>
      <c r="E77" s="12" t="inlineStr">
        <is>
          <t>CMS-2449-P Tables 14–16</t>
        </is>
      </c>
      <c r="F77" s="12" t="inlineStr">
        <is>
          <t>Tables 14–16, 91 FR 30449–30450; note App. D ('Draft note, SDP rule parameters')</t>
        </is>
      </c>
      <c r="G77" s="12" t="inlineStr">
        <is>
          <t>Note App. D</t>
        </is>
      </c>
      <c r="H77" s="12" t="inlineStr">
        <is>
          <t>Inpatient commercial-to-Medicare price ratios by estimate</t>
        </is>
      </c>
      <c r="I77" s="12" t="inlineStr">
        <is>
          <t>n/a</t>
        </is>
      </c>
      <c r="J77" s="12" t="inlineStr">
        <is>
          <t>n/a</t>
        </is>
      </c>
      <c r="K77" s="12" t="inlineStr">
        <is>
          <t>ratio, not dollars</t>
        </is>
      </c>
      <c r="L77" s="12" t="inlineStr">
        <is>
          <t>low / primary / high</t>
        </is>
      </c>
      <c r="M77"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77" s="12" t="inlineStr">
        <is>
          <t>verified</t>
        </is>
      </c>
    </row>
    <row r="78" ht="116.25" customHeight="1" s="10">
      <c r="A78" s="12" t="inlineStr">
        <is>
          <t>2. CMS estimates</t>
        </is>
      </c>
      <c r="B78" s="13" t="inlineStr">
        <is>
          <t>CE-27</t>
        </is>
      </c>
      <c r="C78" s="12" t="inlineStr">
        <is>
          <t>The rounding noise floor across the two RIAs is about 0.3</t>
        </is>
      </c>
      <c r="D78" s="12" t="inlineStr">
        <is>
          <t>derived arithmetic</t>
        </is>
      </c>
      <c r="E78" s="12" t="inlineStr">
        <is>
          <t>Both RIAs</t>
        </is>
      </c>
      <c r="F78" s="12" t="inlineStr">
        <is>
          <t>Note sec. 2.2</t>
        </is>
      </c>
      <c r="G78" s="12" t="inlineStr">
        <is>
          <t>Narrative</t>
        </is>
      </c>
      <c r="H78" s="12" t="inlineStr">
        <is>
          <t>Tolerance for sum-of-rounded-cells artifacts</t>
        </is>
      </c>
      <c r="I78" s="12" t="inlineStr">
        <is>
          <t>n/a</t>
        </is>
      </c>
      <c r="J78" s="12" t="inlineStr">
        <is>
          <t>n/a</t>
        </is>
      </c>
      <c r="K78" s="12" t="inlineStr">
        <is>
          <t>real 2026 dollars</t>
        </is>
      </c>
      <c r="L78" s="12" t="inlineStr">
        <is>
          <t>not scenario-dependent</t>
        </is>
      </c>
      <c r="M78"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78" s="12" t="inlineStr">
        <is>
          <t>SUPERSEDED — noise floor restated as 0.3 to 0.4; replaced by CE-53</t>
        </is>
      </c>
    </row>
    <row r="79" ht="137.25" customHeight="1" s="10">
      <c r="A79" s="12" t="inlineStr">
        <is>
          <t>2. CMS estimates</t>
        </is>
      </c>
      <c r="B79" s="13" t="inlineStr">
        <is>
          <t>CE-28</t>
        </is>
      </c>
      <c r="C79" s="12" t="inlineStr">
        <is>
          <t>Table 9's $182.7B ten-year total equals CBO's $182.7B net deficit estimate for Sec. 71115 but measures something different</t>
        </is>
      </c>
      <c r="D79" s="12" t="inlineStr">
        <is>
          <t>derived arithmetic / contextual</t>
        </is>
      </c>
      <c r="E79" s="12" t="inlineStr">
        <is>
          <t>CMS-2452-P Table 9; CBO</t>
        </is>
      </c>
      <c r="F79" s="12" t="inlineStr">
        <is>
          <t>Table 9, 91 FR 46591; R0603; CBO supplemental cost estimate, October 28, 2025</t>
        </is>
      </c>
      <c r="G79" s="12" t="inlineStr">
        <is>
          <t>Note footnote 2</t>
        </is>
      </c>
      <c r="H79" s="12" t="inlineStr">
        <is>
          <t>Coincidence of numerals across incompatible measures</t>
        </is>
      </c>
      <c r="I79" s="12" t="inlineStr">
        <is>
          <t>total computable vs federal only</t>
        </is>
      </c>
      <c r="J79" s="12" t="inlineStr">
        <is>
          <t>differing</t>
        </is>
      </c>
      <c r="K79" s="12" t="inlineStr">
        <is>
          <t>differing</t>
        </is>
      </c>
      <c r="L79" s="12" t="inlineStr">
        <is>
          <t>primary vs statutory score</t>
        </is>
      </c>
      <c r="M79"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 RE-CHECKED October 14, 2026, third pass, part 2 (verification_v4_log.md): CBO limb matched by script: CBO, October 28, 2025, Supplemental Cost Estimate (user-supplied copy: 48458f96-CBO_61837.pdf), p. 5: 'section 71115 will decrease deficits by $182.7 billion over the 2025-2034 period'. The CMS limb (Table 9) was verified earlier.</t>
        </is>
      </c>
      <c r="N79" s="12" t="inlineStr">
        <is>
          <t>verified</t>
        </is>
      </c>
    </row>
    <row r="80" ht="42.75" customHeight="1" s="10">
      <c r="A80" s="12" t="inlineStr">
        <is>
          <t>2. CMS estimates</t>
        </is>
      </c>
      <c r="B80" s="13" t="inlineStr">
        <is>
          <t>CE-29</t>
        </is>
      </c>
      <c r="C80" s="12" t="inlineStr">
        <is>
          <t>Table 16 prints $191.8B (high, including interaction) and Table 17 prints $191.4B (low, excluding interaction) on the same page</t>
        </is>
      </c>
      <c r="D80" s="12" t="inlineStr">
        <is>
          <t>contextual</t>
        </is>
      </c>
      <c r="E80" s="12" t="inlineStr">
        <is>
          <t>CMS-2452-P Tables 16, 17</t>
        </is>
      </c>
      <c r="F80" s="12" t="inlineStr">
        <is>
          <t>Both at 91 FR 46594</t>
        </is>
      </c>
      <c r="G80" s="12" t="inlineStr">
        <is>
          <t>Note footnote 3</t>
        </is>
      </c>
      <c r="H80" s="12" t="inlineStr">
        <is>
          <t>Two near-identical numerals on opposite scenarios and opposite sides of the overlap</t>
        </is>
      </c>
      <c r="I80" s="12" t="inlineStr">
        <is>
          <t>federal only</t>
        </is>
      </c>
      <c r="J80" s="12" t="inlineStr">
        <is>
          <t>FY2026–2035</t>
        </is>
      </c>
      <c r="K80" s="12" t="inlineStr">
        <is>
          <t>real 2026 dollars</t>
        </is>
      </c>
      <c r="L80" s="12" t="inlineStr">
        <is>
          <t>high including / low excluding</t>
        </is>
      </c>
      <c r="M80" s="12" t="inlineStr">
        <is>
          <t>Internal: 0.4 apart UPDATED October 11, 2026: v17 drafts no note on the $191.8B and $191.4B coincidence; the App. E heading names 'v13 footnotes 1–3'. Retained because the outline commits to it.</t>
        </is>
      </c>
      <c r="N80" s="12" t="inlineStr">
        <is>
          <t>verified</t>
        </is>
      </c>
    </row>
    <row r="81" ht="157.5" customHeight="1" s="10">
      <c r="A81" s="12" t="inlineStr">
        <is>
          <t>2. CMS estimates</t>
        </is>
      </c>
      <c r="B81" s="13" t="inlineStr">
        <is>
          <t>CE-30</t>
        </is>
      </c>
      <c r="C81" s="12" t="inlineStr">
        <is>
          <t>The five circulating quantities measure five different things; quantities from different rows of the orientation exhibit are not additive, and the same row's standalone and post-overlap versions are not additive either</t>
        </is>
      </c>
      <c r="D81" s="12" t="inlineStr">
        <is>
          <t>derived arithmetic</t>
        </is>
      </c>
      <c r="E81" s="12" t="inlineStr">
        <is>
          <t>Both RIAs, as assembled by [FIRM]</t>
        </is>
      </c>
      <c r="F81" s="12" t="inlineStr">
        <is>
          <t>Orientation exhibit; 91 FR 30452, 46590-46593; R0177, R1008, R0647, R0658, R0669, R0548, R0559, R0570, R0702, R0779</t>
        </is>
      </c>
      <c r="G81" s="12" t="inlineStr">
        <is>
          <t>Note orientation exhibit, rows 1-5</t>
        </is>
      </c>
      <c r="H81" s="12" t="inlineStr">
        <is>
          <t>Definitional separation of federal outlays, state outlays, gross provider payments, tax revenue and net provider position</t>
        </is>
      </c>
      <c r="I81" s="12" t="inlineStr">
        <is>
          <t>mixed by row: federal only, state only, provider aggregate, private payers</t>
        </is>
      </c>
      <c r="J81" s="12" t="inlineStr">
        <is>
          <t>FY2026-2035 for every row</t>
        </is>
      </c>
      <c r="K81" s="12" t="inlineStr">
        <is>
          <t>real 2026 dollars</t>
        </is>
      </c>
      <c r="L81" s="12" t="inlineStr">
        <is>
          <t>primary, with the standalone and post-overlap versions of row 5 shown separately</t>
        </is>
      </c>
      <c r="M81"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1" s="12" t="inlineStr">
        <is>
          <t>SUPERSEDED — exhibit rows 1 and 2 now sum to row 3; replaced by CE-50</t>
        </is>
      </c>
    </row>
    <row r="82" ht="105.75" customHeight="1" s="10">
      <c r="A82" s="12" t="inlineStr">
        <is>
          <t>2. CMS estimates</t>
        </is>
      </c>
      <c r="B82" s="13" t="inlineStr">
        <is>
          <t>CE-31</t>
        </is>
      </c>
      <c r="C82" s="12" t="inlineStr">
        <is>
          <t>CMS states a range for the tax-financing parameter: 'Based on data collected from SDP preprints, we estimate that between 55 and 75 percent of SDP spending is financed with provider taxes'</t>
        </is>
      </c>
      <c r="D82" s="12" t="inlineStr">
        <is>
          <t>CMS estimate (assumption) [E]</t>
        </is>
      </c>
      <c r="E82" s="12" t="inlineStr">
        <is>
          <t>CMS-2452-P narrative</t>
        </is>
      </c>
      <c r="F82" s="12" t="inlineStr">
        <is>
          <t>91 FR 46592. NO WORKSHEET ROW - the passage's only worksheet row, R1012, transcribes the 65 percent point estimate and the bracketed 38/37 percent preprint observations, not the range sentence. Cited to the Federal Register page directly</t>
        </is>
      </c>
      <c r="G82" s="12" t="inlineStr">
        <is>
          <t>Direct quotation, one sentence before the point estimate CMS adopts</t>
        </is>
      </c>
      <c r="H82" s="12" t="inlineStr">
        <is>
          <t>Stated range for the share of SDP spending financed with provider taxes</t>
        </is>
      </c>
      <c r="I82" s="12" t="inlineStr">
        <is>
          <t>total computable, SDP spending</t>
        </is>
      </c>
      <c r="J82" s="12" t="inlineStr">
        <is>
          <t>n/a - a parameter, not a horizon-bound estimate</t>
        </is>
      </c>
      <c r="K82" s="12" t="inlineStr">
        <is>
          <t>n/a - a share</t>
        </is>
      </c>
      <c r="L82" s="12" t="inlineStr">
        <is>
          <t>stated as a range; CMS moves the parameter to each endpoint by scenario (CE-32)</t>
        </is>
      </c>
      <c r="M82"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2" s="12" t="inlineStr">
        <is>
          <t>verified - quoted from the Federal Register page; no worksheet row exists</t>
        </is>
      </c>
    </row>
    <row r="83" ht="252" customHeight="1" s="10">
      <c r="A83" s="12" t="inlineStr">
        <is>
          <t>2. CMS estimates</t>
        </is>
      </c>
      <c r="B83" s="13" t="inlineStr">
        <is>
          <t>CE-32</t>
        </is>
      </c>
      <c r="C83"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3" s="12" t="inlineStr">
        <is>
          <t>CMS estimate (assumption) [E]</t>
        </is>
      </c>
      <c r="E83" s="12" t="inlineStr">
        <is>
          <t>CMS-2452-P narrative</t>
        </is>
      </c>
      <c r="F83" s="12" t="inlineStr">
        <is>
          <t>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is>
      </c>
      <c r="G83" s="12" t="inlineStr">
        <is>
          <t>Note sec. 2 (65 and 80 percent); sec. 3 (30 percent); App. D</t>
        </is>
      </c>
      <c r="H83" s="12" t="inlineStr">
        <is>
          <t>Three parameters that jointly determine the size of the overlap and the net: tax-financed share of SDPs, share of the reductions applied to SDPs, and state offset rate</t>
        </is>
      </c>
      <c r="I83" s="12" t="inlineStr">
        <is>
          <t>total computable</t>
        </is>
      </c>
      <c r="J83" s="12" t="inlineStr">
        <is>
          <t>n/a - parameters</t>
        </is>
      </c>
      <c r="K83" s="12" t="inlineStr">
        <is>
          <t>n/a - shares</t>
        </is>
      </c>
      <c r="L83" s="12" t="inlineStr">
        <is>
          <t>central / low-savings / high-savings, one parameter set per estimate</t>
        </is>
      </c>
      <c r="M83"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is>
      </c>
      <c r="N83" s="12" t="inlineStr">
        <is>
          <t>verified with caveat — the central 30 and 80 percent and the 65 percent are confirmed against the Federal Register text (F-007, Round 2); the 90 and 70 percent parameters and the Medicaid-share clause have no worksheet or verification row</t>
        </is>
      </c>
    </row>
    <row r="84" ht="168" customHeight="1" s="10">
      <c r="A84" s="12" t="inlineStr">
        <is>
          <t>2. CMS estimates</t>
        </is>
      </c>
      <c r="B84" s="13" t="inlineStr">
        <is>
          <t>CE-33</t>
        </is>
      </c>
      <c r="C84" s="12" t="inlineStr">
        <is>
          <t>The scenario overlaps of approximately $285 billion (low) and approximately $180 billion (high) are residuals derived by [FIRM]; CMS does not state the overlap for its low or high scenarios and publishes no such figure</t>
        </is>
      </c>
      <c r="D84" s="12" t="inlineStr">
        <is>
          <t>derived arithmetic - [FIRM] construction, not a CMS figure</t>
        </is>
      </c>
      <c r="E84" s="12" t="inlineStr">
        <is>
          <t>CMS-2452-P Tables 15, 16, 17, 18, as transcribed in the worksheet</t>
        </is>
      </c>
      <c r="F84" s="12" t="inlineStr">
        <is>
          <t>Low, from Tables 17 and 18 at 91 FR 46594: R0889, R0900, R0933, R0944. High, from Tables 15 and 16 at 91 FR 46593-46594: R0801, R0812, R0845, R0856. Eight worksheet rows in total</t>
        </is>
      </c>
      <c r="G84" s="12" t="inlineStr">
        <is>
          <t>No quote - a residual differenced from the eight rows named</t>
        </is>
      </c>
      <c r="H84" s="12" t="inlineStr">
        <is>
          <t>The difference between the excluding-interaction and including-interaction federal and state positions in each scenario, summed</t>
        </is>
      </c>
      <c r="I84" s="12" t="inlineStr">
        <is>
          <t>total computable, federal plus state</t>
        </is>
      </c>
      <c r="J84" s="12" t="inlineStr">
        <is>
          <t>FY2026-2035</t>
        </is>
      </c>
      <c r="K84" s="12" t="inlineStr">
        <is>
          <t>real 2026 dollars</t>
        </is>
      </c>
      <c r="L84" s="12" t="inlineStr">
        <is>
          <t>low and high; the primary-scenario counterpart is CMS's own printed $241.9B at CE-14</t>
        </is>
      </c>
      <c r="M84"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4" s="12" t="inlineStr">
        <is>
          <t>verified as derived - the note must not be read as attributing these two figures to CMS</t>
        </is>
      </c>
    </row>
    <row r="85" ht="147.75" customHeight="1" s="10">
      <c r="A85" s="12" t="inlineStr">
        <is>
          <t>2. CMS estimates</t>
        </is>
      </c>
      <c r="B85" s="13" t="inlineStr">
        <is>
          <t>CE-34</t>
        </is>
      </c>
      <c r="C85" s="12" t="inlineStr">
        <is>
          <t>Other things equal, a higher tax-financed share means more overlap and a lower share less, but CMS's other estimates move these assumptions together with the share of the cut states offset, so CMS's figures do not isolate the effect of any one assumption</t>
        </is>
      </c>
      <c r="D85" s="12" t="inlineStr">
        <is>
          <t>derived arithmetic - interpretive [I]/[E]</t>
        </is>
      </c>
      <c r="E85" s="12" t="inlineStr">
        <is>
          <t>CMS-2452-P scenario narratives and Tables 15-18</t>
        </is>
      </c>
      <c r="F85" s="12" t="inlineStr">
        <is>
          <t>Note sec. 2 (91 FR 46593–46594); CE-32 for the parameters, CE-33 for the derived overlaps</t>
        </is>
      </c>
      <c r="G85" s="12" t="inlineStr">
        <is>
          <t>Note sec. 2</t>
        </is>
      </c>
      <c r="H85" s="12" t="inlineStr">
        <is>
          <t>Direction, not magnitude, of the relationship between the tax-financing parameter and the overlap</t>
        </is>
      </c>
      <c r="I85" s="12" t="inlineStr">
        <is>
          <t>total computable</t>
        </is>
      </c>
      <c r="J85" s="12" t="inlineStr">
        <is>
          <t>FY2026-2035</t>
        </is>
      </c>
      <c r="K85" s="12" t="inlineStr">
        <is>
          <t>real 2026 dollars</t>
        </is>
      </c>
      <c r="L85" s="12" t="inlineStr">
        <is>
          <t>low and high compared</t>
        </is>
      </c>
      <c r="M85"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is>
      </c>
      <c r="N85" s="12" t="inlineStr">
        <is>
          <t>verified with caveat - direction only; the note explicitly disclaims a proportional reading</t>
        </is>
      </c>
    </row>
    <row r="86" ht="220.5" customHeight="1" s="10">
      <c r="A86" s="12" t="inlineStr">
        <is>
          <t>2. CMS estimates</t>
        </is>
      </c>
      <c r="B86" s="13" t="inlineStr">
        <is>
          <t>CE-35</t>
        </is>
      </c>
      <c r="C86" s="12" t="inlineStr">
        <is>
          <t>Every annual cell of CMS-2449-P's three load-bearing tables was independently checked against CMS-2452-P's Table 13, which restates them in machine-readable text; all thirty cells match</t>
        </is>
      </c>
      <c r="D86" s="12" t="inlineStr">
        <is>
          <t>derived arithmetic — transcription check</t>
        </is>
      </c>
      <c r="E86" s="12" t="inlineStr">
        <is>
          <t>Both RIAs, via the reconciliation worksheet</t>
        </is>
      </c>
      <c r="F86" s="12" t="inlineStr">
        <is>
          <t>CMS-2449-P Tables 18, 19, 20 at 91 FR 30451–30452; CMS-2452-P Table 13 at 91 FR 46592; worksheet Reconciliation annual cells</t>
        </is>
      </c>
      <c r="G86" s="12" t="inlineStr">
        <is>
          <t>Note Limitations</t>
        </is>
      </c>
      <c r="H86" s="12" t="inlineStr">
        <is>
          <t>Validation of a visually transcribed bitmap table against a machine-readable restatement of the same figures</t>
        </is>
      </c>
      <c r="I86" s="12" t="inlineStr">
        <is>
          <t>total computable, federal share, state share</t>
        </is>
      </c>
      <c r="J86" s="12" t="inlineStr">
        <is>
          <t>FY2026–2035</t>
        </is>
      </c>
      <c r="K86" s="12" t="inlineStr">
        <is>
          <t>real 2026 dollars</t>
        </is>
      </c>
      <c r="L86" s="12" t="inlineStr">
        <is>
          <t>primary</t>
        </is>
      </c>
      <c r="M86"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86" s="12" t="inlineStr">
        <is>
          <t>SUPERSEDED — thirty-cell check no longer a note claim; table-sum rule at CE-03 and CE-25</t>
        </is>
      </c>
    </row>
    <row r="87" ht="220.5" customHeight="1" s="10">
      <c r="A87" s="12" t="inlineStr">
        <is>
          <t>2. CMS estimates</t>
        </is>
      </c>
      <c r="B87" s="13" t="inlineStr">
        <is>
          <t>CE-36</t>
        </is>
      </c>
      <c r="C87" s="12" t="inlineStr">
        <is>
          <t>The −$220.3B already nets out the lower provider taxes ($384.0B − $163.7B = $220.3B), as CMS's title for Table 12, 'Projected Net Changes Related to Changes in Provider Tax Revenues and Expenditures', indicates</t>
        </is>
      </c>
      <c r="D87" s="12" t="inlineStr">
        <is>
          <t>derived arithmetic + CMS caption [I]/[E]</t>
        </is>
      </c>
      <c r="E87" s="12" t="inlineStr">
        <is>
          <t>CMS-2452-P Tables 8, 11, 12, 14</t>
        </is>
      </c>
      <c r="F87" s="12" t="inlineStr">
        <is>
          <t>91 FR 46590–46593; R0548, R0559, R0658, R0669, R0691, R0702; Table 12 caption (CE-37); note sec. 5 ('The provider tax rule's two figures for providers')</t>
        </is>
      </c>
      <c r="G87" s="12" t="inlineStr">
        <is>
          <t>Note sec. 5</t>
        </is>
      </c>
      <c r="H87" s="12" t="inlineStr">
        <is>
          <t>Identification of how the provider row is constructed</t>
        </is>
      </c>
      <c r="I87" s="12" t="inlineStr">
        <is>
          <t>provider aggregate</t>
        </is>
      </c>
      <c r="J87" s="12" t="inlineStr">
        <is>
          <t>FY2026–2035</t>
        </is>
      </c>
      <c r="K87" s="12" t="inlineStr">
        <is>
          <t>real 2026 dollars</t>
        </is>
      </c>
      <c r="L87" s="12" t="inlineStr">
        <is>
          <t>primary</t>
        </is>
      </c>
      <c r="M87"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87" s="12" t="inlineStr">
        <is>
          <t>verified</t>
        </is>
      </c>
    </row>
    <row r="88" ht="53.25" customHeight="1" s="10">
      <c r="A88" s="12" t="inlineStr">
        <is>
          <t>2. CMS estimates</t>
        </is>
      </c>
      <c r="B88" s="13" t="inlineStr">
        <is>
          <t>CE-37</t>
        </is>
      </c>
      <c r="C88" s="12" t="inlineStr">
        <is>
          <t>CMS captions Table 12 'Projected Net Changes Related to Changes in Provider Tax Revenues and Expenditures'</t>
        </is>
      </c>
      <c r="D88" s="12" t="inlineStr">
        <is>
          <t>CMS estimate (caption)</t>
        </is>
      </c>
      <c r="E88" s="12" t="inlineStr">
        <is>
          <t>CMS-2452-P Table 12</t>
        </is>
      </c>
      <c r="F88" s="12" t="inlineStr">
        <is>
          <t>Table 12, 91 FR 46592; worksheet Table_Index and caption field of R0680–R0713</t>
        </is>
      </c>
      <c r="G88" s="12" t="inlineStr">
        <is>
          <t>"TABLE 12-PROJECTED NET CHANGES RELATED TO CHANGES IN PROVIDER TAX REVENUES AND EXPENDITURES"</t>
        </is>
      </c>
      <c r="H88" s="12" t="inlineStr">
        <is>
          <t>CMS's own label for the four-party table</t>
        </is>
      </c>
      <c r="I88" s="12" t="inlineStr">
        <is>
          <t>all four parties</t>
        </is>
      </c>
      <c r="J88" s="12" t="inlineStr">
        <is>
          <t>FY2026–2035</t>
        </is>
      </c>
      <c r="K88" s="12" t="inlineStr">
        <is>
          <t>real 2026 dollars</t>
        </is>
      </c>
      <c r="L88" s="12" t="inlineStr">
        <is>
          <t>primary, excluding interaction</t>
        </is>
      </c>
      <c r="M88"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88" s="12" t="inlineStr">
        <is>
          <t>verified - caption confirmed against the reconciliation worksheet</t>
        </is>
      </c>
    </row>
    <row r="89" ht="63.75" customHeight="1" s="10">
      <c r="A89" s="12" t="inlineStr">
        <is>
          <t>2. CMS estimates</t>
        </is>
      </c>
      <c r="B89" s="13" t="inlineStr">
        <is>
          <t>CE-38</t>
        </is>
      </c>
      <c r="C89" s="12" t="inlineStr">
        <is>
          <t>Stacked, the two RIAs project Medicaid payments to providers falling $916.9B over 2026–2035 in the primary scenario: the SDP rule's $774.8B plus the provider tax rule's $142.1B increment after the overlap</t>
        </is>
      </c>
      <c r="D89" s="12" t="inlineStr">
        <is>
          <t>derived arithmetic - [FIRM] construction, not a CMS figure</t>
        </is>
      </c>
      <c r="E89" s="12" t="inlineStr">
        <is>
          <t>CMS-2449-P Table 18; CMS-2452-P narrative</t>
        </is>
      </c>
      <c r="F89" s="12" t="inlineStr">
        <is>
          <t>91 FR 30451 (R0146); 91 FR 46592 (R1009)</t>
        </is>
      </c>
      <c r="G89" s="12" t="inlineStr">
        <is>
          <t>Note Summary of findings; orientation exhibit row 3; Figure 1</t>
        </is>
      </c>
      <c r="H89" s="12" t="inlineStr">
        <is>
          <t>Combined gross provider payment reduction, overlap-adjusted</t>
        </is>
      </c>
      <c r="I89" s="12" t="inlineStr">
        <is>
          <t>provider aggregate, total computable</t>
        </is>
      </c>
      <c r="J89" s="12" t="inlineStr">
        <is>
          <t>FY2026–2035</t>
        </is>
      </c>
      <c r="K89" s="12" t="inlineStr">
        <is>
          <t>real 2026 dollars</t>
        </is>
      </c>
      <c r="L89" s="12" t="inlineStr">
        <is>
          <t>primary, overlap-adjusted</t>
        </is>
      </c>
      <c r="M89"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89" s="12" t="inlineStr">
        <is>
          <t>verified as derived - [FIRM]'s sum of two CMS figures</t>
        </is>
      </c>
    </row>
    <row r="90" ht="32.25" customHeight="1" s="10">
      <c r="A90" s="12" t="inlineStr">
        <is>
          <t>2. CMS estimates</t>
        </is>
      </c>
      <c r="B90" s="13" t="inlineStr">
        <is>
          <t>CE-39</t>
        </is>
      </c>
      <c r="C90" s="12" t="inlineStr">
        <is>
          <t>Net of the $163.7B providers save in provider taxes, the stacked primary-scenario figure is about −$753B</t>
        </is>
      </c>
      <c r="D90" s="12" t="inlineStr">
        <is>
          <t>derived arithmetic - [FIRM] construction</t>
        </is>
      </c>
      <c r="E90" s="12" t="inlineStr">
        <is>
          <t>CE-38; CMS-2452-P Table 8</t>
        </is>
      </c>
      <c r="F90" s="12" t="inlineStr">
        <is>
          <t>R0146, R1009, R0559</t>
        </is>
      </c>
      <c r="G90" s="12" t="inlineStr">
        <is>
          <t>Note Summary of findings</t>
        </is>
      </c>
      <c r="H90" s="12" t="inlineStr">
        <is>
          <t>Combined net provider position, before any offset for provider-financed non-federal share</t>
        </is>
      </c>
      <c r="I90" s="12" t="inlineStr">
        <is>
          <t>provider aggregate</t>
        </is>
      </c>
      <c r="J90" s="12" t="inlineStr">
        <is>
          <t>FY2026–2035</t>
        </is>
      </c>
      <c r="K90" s="12" t="inlineStr">
        <is>
          <t>real 2026 dollars</t>
        </is>
      </c>
      <c r="L90" s="12" t="inlineStr">
        <is>
          <t>primary, overlap-adjusted</t>
        </is>
      </c>
      <c r="M90" s="12" t="inlineStr">
        <is>
          <t>Internal: −916.9 + 163.7 = −753.2. Second route: −774.8 + 21.7 (Table 14 providers, R0779) = −753.1; the 0.1 difference is rounding. Same statutory attribution as CE-38</t>
        </is>
      </c>
      <c r="N90" s="12" t="inlineStr">
        <is>
          <t>verified as derived</t>
        </is>
      </c>
    </row>
    <row r="91" ht="137.25" customHeight="1" s="10">
      <c r="A91" s="12" t="inlineStr">
        <is>
          <t>2. CMS estimates</t>
        </is>
      </c>
      <c r="B91" s="13" t="inlineStr">
        <is>
          <t>CE-40</t>
        </is>
      </c>
      <c r="C91" s="12" t="inlineStr">
        <is>
          <t>Where providers pay the provider taxes or IGTs that fund the state share of SDPs, CMS writes that 'the net change in provider revenue … could be significantly less', though it is 'unable to estimate the impacts on providers in more detail'</t>
        </is>
      </c>
      <c r="D91" s="12" t="inlineStr">
        <is>
          <t>CMS estimate (caveat) [E]</t>
        </is>
      </c>
      <c r="E91" s="12" t="inlineStr">
        <is>
          <t>CMS-2449-P RIA narrative</t>
        </is>
      </c>
      <c r="F91" s="12" t="inlineStr">
        <is>
          <t>91 FR 30453. NO WORKSHEET ROW - the worksheet transcribes quantitative estimates; searches for 'IGTs' and 'significantly less' return nothing</t>
        </is>
      </c>
      <c r="G91" s="12" t="inlineStr">
        <is>
          <t>Note sec. 4 (step 3), two fragments: 'the net change in provider revenue … could be significantly less' and 'unable to estimate the impacts on providers in more detail'</t>
        </is>
      </c>
      <c r="H91" s="12" t="inlineStr">
        <is>
          <t>CMS's own qualification that its SDP figure is gross of provider-financed non-federal share</t>
        </is>
      </c>
      <c r="I91" s="12" t="inlineStr">
        <is>
          <t>provider aggregate</t>
        </is>
      </c>
      <c r="J91" s="12" t="inlineStr">
        <is>
          <t>FY2026–2035</t>
        </is>
      </c>
      <c r="K91" s="12" t="inlineStr">
        <is>
          <t>real 2026 dollars</t>
        </is>
      </c>
      <c r="L91" s="12" t="inlineStr">
        <is>
          <t>primary</t>
        </is>
      </c>
      <c r="M91"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1" s="12" t="inlineStr">
        <is>
          <t>single-source - quoted from 91 FR 30453 as the note gives it; no worksheet row</t>
        </is>
      </c>
    </row>
    <row r="92" ht="168" customHeight="1" s="10">
      <c r="A92" s="12" t="inlineStr">
        <is>
          <t>2. CMS estimates</t>
        </is>
      </c>
      <c r="B92" s="13" t="inlineStr">
        <is>
          <t>CE-41</t>
        </is>
      </c>
      <c r="C92"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2" s="12" t="inlineStr">
        <is>
          <t>derived arithmetic - [FIRM] construction [I]</t>
        </is>
      </c>
      <c r="E92" s="12" t="inlineStr">
        <is>
          <t>CE-39; CMS-2449-P Tables 20, 22, 23</t>
        </is>
      </c>
      <c r="F92" s="12" t="inlineStr">
        <is>
          <t>Note sec. 4; App. D table; CE-39; CMS-2449-P Tables 20, 22, 23 (state shares 264.7, 136.3 (R0986), 340.0 (Table 23 cell sum; text $339.6B))</t>
        </is>
      </c>
      <c r="G92" s="12" t="inlineStr">
        <is>
          <t>Note sec. 1 (executive summary), sec. 4, App. D</t>
        </is>
      </c>
      <c r="H92" s="12" t="inlineStr">
        <is>
          <t>Bounds on the combined net provider position</t>
        </is>
      </c>
      <c r="I92" s="12" t="inlineStr">
        <is>
          <t>provider aggregate</t>
        </is>
      </c>
      <c r="J92" s="12" t="inlineStr">
        <is>
          <t>FY2026–2035</t>
        </is>
      </c>
      <c r="K92" s="12" t="inlineStr">
        <is>
          <t>real 2026 dollars</t>
        </is>
      </c>
      <c r="L92" s="12" t="inlineStr">
        <is>
          <t>primary; low and high at the bound</t>
        </is>
      </c>
      <c r="M92"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2" s="12" t="inlineStr">
        <is>
          <t>verified with caveat - arithmetic closes; the ceiling is [FIRM]'s reasoning, not CMS's statement</t>
        </is>
      </c>
    </row>
    <row r="93" ht="105.75" customHeight="1" s="10">
      <c r="A93" s="12" t="inlineStr">
        <is>
          <t>2. CMS estimates</t>
        </is>
      </c>
      <c r="B93" s="13" t="inlineStr">
        <is>
          <t>CE-42</t>
        </is>
      </c>
      <c r="C93"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3" s="12" t="inlineStr">
        <is>
          <t>derived arithmetic - [FIRM] construction [I]</t>
        </is>
      </c>
      <c r="E93" s="12" t="inlineStr">
        <is>
          <t>CMS-2449-P narrative; CMS-2452-P Tables 16, 18</t>
        </is>
      </c>
      <c r="F93" s="12" t="inlineStr">
        <is>
          <t>Low-savings: 91 FR 30453 (R0984) and Table 18, 91 FR 46594 (R0955). High-savings: 91 FR 30454 (R0987) and Table 16, 91 FR 46594 (R0867). Note App. D (table and source note)</t>
        </is>
      </c>
      <c r="G93" s="12" t="inlineStr">
        <is>
          <t>Note App. D</t>
        </is>
      </c>
      <c r="H93" s="12" t="inlineStr">
        <is>
          <t>Combined net provider position, low and high</t>
        </is>
      </c>
      <c r="I93" s="12" t="inlineStr">
        <is>
          <t>provider aggregate</t>
        </is>
      </c>
      <c r="J93" s="12" t="inlineStr">
        <is>
          <t>FY2026–2035</t>
        </is>
      </c>
      <c r="K93" s="12" t="inlineStr">
        <is>
          <t>real 2026 dollars</t>
        </is>
      </c>
      <c r="L93" s="12" t="inlineStr">
        <is>
          <t>low with low, high with high</t>
        </is>
      </c>
      <c r="M93"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3" s="12" t="inlineStr">
        <is>
          <t>verified with caveat - arithmetic closes; scenario pairing is [FIRM]'s</t>
        </is>
      </c>
    </row>
    <row r="94" ht="304.5" customHeight="1" s="10">
      <c r="A94" s="12" t="inlineStr">
        <is>
          <t>2. CMS estimates</t>
        </is>
      </c>
      <c r="B94" s="13" t="inlineStr">
        <is>
          <t>CE-43</t>
        </is>
      </c>
      <c r="C94"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4" s="12" t="inlineStr">
        <is>
          <t>CMS estimate (baseline) [E]/[I]</t>
        </is>
      </c>
      <c r="E94" s="12" t="inlineStr">
        <is>
          <t>CMS-2452-P RIA; CMS-2449-P RIA</t>
        </is>
      </c>
      <c r="F94" s="12" t="inlineStr">
        <is>
          <t>SDP rule: 91 FR 30447 (RIA, '3. Transfers', 'a. State Directed Payments'); FFS estimates: 91 FR 30455. Provider tax rule: 91 FR 46562 RIA ('pre-statute' baseline); Tables 5, 9, 10, 91 FR 46589–46591 (R0515, R0581–R0603, R0614–R0636)</t>
        </is>
      </c>
      <c r="G94" s="12" t="inlineStr">
        <is>
          <t>Note sec. 3, first paragraph; Round 3 item 1: 'projections of Medicaid spending in the President's FY 2027 Budget … excluding any changes in spending attributable to the WFTC legislation' (91 FR 30447)</t>
        </is>
      </c>
      <c r="H94" s="12" t="inlineStr">
        <is>
          <t>The counterfactual both RIAs measure against, and what they do not separate</t>
        </is>
      </c>
      <c r="I94" s="12" t="inlineStr">
        <is>
          <t>both rules</t>
        </is>
      </c>
      <c r="J94" s="12" t="inlineStr">
        <is>
          <t>FY2026–2035</t>
        </is>
      </c>
      <c r="K94" s="12" t="inlineStr">
        <is>
          <t>real 2026 dollars</t>
        </is>
      </c>
      <c r="L94" s="12" t="inlineStr">
        <is>
          <t>all scenarios</t>
        </is>
      </c>
      <c r="M94"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4" s="12" t="inlineStr">
        <is>
          <t>verified — baseline confirmed for both rules' main estimates (91 FR 30447; D-16); FFS estimates state no baseline</t>
        </is>
      </c>
    </row>
    <row r="95" ht="168" customHeight="1" s="10">
      <c r="A95" s="12" t="inlineStr">
        <is>
          <t>2. CMS estimates</t>
        </is>
      </c>
      <c r="B95" s="13" t="inlineStr">
        <is>
          <t>CE-44</t>
        </is>
      </c>
      <c r="C95" s="12" t="inlineStr">
        <is>
          <t>CMS's own accounting statement treats the interaction-inclusive figures as the provider tax rule's transfers</t>
        </is>
      </c>
      <c r="D95" s="12" t="inlineStr">
        <is>
          <t>CMS estimate</t>
        </is>
      </c>
      <c r="E95" s="12" t="inlineStr">
        <is>
          <t>CMS-2452-P Table 19 (Accounting Statement)</t>
        </is>
      </c>
      <c r="F95" s="12" t="inlineStr">
        <is>
          <t>Table 19, 91 FR 46596; R1019</t>
        </is>
      </c>
      <c r="G95" s="12" t="inlineStr">
        <is>
          <t>Annualized monetized transfers, providers: $2,448M primary, $13,155M low, −$11,525M high (7 percent)</t>
        </is>
      </c>
      <c r="H95" s="12" t="inlineStr">
        <is>
          <t>Which provider series CMS carries into its Accounting Statement</t>
        </is>
      </c>
      <c r="I95" s="12" t="inlineStr">
        <is>
          <t>federal, states, providers</t>
        </is>
      </c>
      <c r="J95" s="12" t="inlineStr">
        <is>
          <t>2026–2035, annualized</t>
        </is>
      </c>
      <c r="K95" s="12" t="inlineStr">
        <is>
          <t>millions, annualized</t>
        </is>
      </c>
      <c r="L95" s="12" t="inlineStr">
        <is>
          <t>primary / low / high</t>
        </is>
      </c>
      <c r="M95"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5" s="12" t="inlineStr">
        <is>
          <t>SUPERSEDED — accounting-statement provider series no longer a note claim</t>
        </is>
      </c>
    </row>
    <row r="96" ht="74.25" customHeight="1" s="10">
      <c r="A96" s="12" t="inlineStr">
        <is>
          <t>2. CMS estimates</t>
        </is>
      </c>
      <c r="B96" s="13" t="inlineStr">
        <is>
          <t>CE-45</t>
        </is>
      </c>
      <c r="C96" s="12" t="inlineStr">
        <is>
          <t>The +$21.7B is front-loaded: about +$24.3B over 2026–2031 and −$2.7B over 2032–2035</t>
        </is>
      </c>
      <c r="D96" s="12" t="inlineStr">
        <is>
          <t>derived arithmetic</t>
        </is>
      </c>
      <c r="E96" s="12" t="inlineStr">
        <is>
          <t>CMS-2452-P Table 14</t>
        </is>
      </c>
      <c r="F96" s="12" t="inlineStr">
        <is>
          <t>Table 14, 91 FR 46593; R0780–R0789</t>
        </is>
      </c>
      <c r="G96" s="12" t="inlineStr">
        <is>
          <t>Table 14 providers annual cells</t>
        </is>
      </c>
      <c r="H96" s="12" t="inlineStr">
        <is>
          <t>Timing of the net provider position</t>
        </is>
      </c>
      <c r="I96" s="12" t="inlineStr">
        <is>
          <t>provider aggregate</t>
        </is>
      </c>
      <c r="J96" s="12" t="inlineStr">
        <is>
          <t>FY2026–2035</t>
        </is>
      </c>
      <c r="K96" s="12" t="inlineStr">
        <is>
          <t>real 2026 dollars</t>
        </is>
      </c>
      <c r="L96" s="12" t="inlineStr">
        <is>
          <t>primary, including interaction</t>
        </is>
      </c>
      <c r="M96"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96" s="12" t="inlineStr">
        <is>
          <t>verified - against the worksheet's annual cells</t>
        </is>
      </c>
    </row>
    <row r="97" ht="157.5" customHeight="1" s="10">
      <c r="A97" s="12" t="inlineStr">
        <is>
          <t>2. CMS estimates</t>
        </is>
      </c>
      <c r="B97" s="13" t="inlineStr">
        <is>
          <t>CE-46</t>
        </is>
      </c>
      <c r="C97" s="12" t="inlineStr">
        <is>
          <t>The derived overlap is about 95, 63 and 38 percent of each scenario's standalone payment cut (low, primary, high), on denominators of $298.7B, $384.0B and $480.2B, assuming the $163.7B tax relief is the same in every scenario</t>
        </is>
      </c>
      <c r="D97" s="12" t="inlineStr">
        <is>
          <t>derived arithmetic - [FIRM] construction</t>
        </is>
      </c>
      <c r="E97" s="12" t="inlineStr">
        <is>
          <t>CMS-2452-P Tables 8, 11, 12, 15, 17</t>
        </is>
      </c>
      <c r="F97" s="12" t="inlineStr">
        <is>
          <t>R0911, R0702, R0823, R0559, R0669; overlaps at CE-14 and CE-33</t>
        </is>
      </c>
      <c r="G97" s="12" t="inlineStr">
        <is>
          <t>Note sec. 2.3; Figure 4</t>
        </is>
      </c>
      <c r="H97" s="12" t="inlineStr">
        <is>
          <t>Overlap as a share of the scenario's standalone provider payment reduction</t>
        </is>
      </c>
      <c r="I97" s="12" t="inlineStr">
        <is>
          <t>provider aggregate, total computable</t>
        </is>
      </c>
      <c r="J97" s="12" t="inlineStr">
        <is>
          <t>FY2026–2035</t>
        </is>
      </c>
      <c r="K97" s="12" t="inlineStr">
        <is>
          <t>real 2026 dollars</t>
        </is>
      </c>
      <c r="L97" s="12" t="inlineStr">
        <is>
          <t>low / primary / high</t>
        </is>
      </c>
      <c r="M97"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97" s="12" t="inlineStr">
        <is>
          <t>SUPERSEDED — Figure 4 dropped; overlap shares no longer stated</t>
        </is>
      </c>
    </row>
    <row r="98" ht="137.25" customHeight="1" s="10">
      <c r="A98" s="12" t="inlineStr">
        <is>
          <t>2. CMS estimates</t>
        </is>
      </c>
      <c r="B98" s="13" t="inlineStr">
        <is>
          <t>CE-47</t>
        </is>
      </c>
      <c r="C98" s="12" t="inlineStr">
        <is>
          <t>The low-scenario share exceeds CMS's stated 'up to 90 percent' flow-through: CMS's low-scenario tables attribute the provider tax rule's entire payment reduction to SDPs in 2026–2031, so the stated parameter does not bound the overlap</t>
        </is>
      </c>
      <c r="D98" s="12" t="inlineStr">
        <is>
          <t>derived arithmetic</t>
        </is>
      </c>
      <c r="E98" s="12" t="inlineStr">
        <is>
          <t>CMS-2452-P Tables 8, 18; scenario narrative</t>
        </is>
      </c>
      <c r="F98" s="12" t="inlineStr">
        <is>
          <t>Table 18 providers 2026–2031 (R0956–R0961); Table 8 providers (R0560–R0565); low-scenario parameter 91 FR 46594</t>
        </is>
      </c>
      <c r="G98" s="12" t="inlineStr">
        <is>
          <t>Note sec. 2.3; Figure 4 note</t>
        </is>
      </c>
      <c r="H98" s="12" t="inlineStr">
        <is>
          <t>Comparison of the derived overlap share with CMS's stated flow-through parameter</t>
        </is>
      </c>
      <c r="I98" s="12" t="inlineStr">
        <is>
          <t>provider aggregate</t>
        </is>
      </c>
      <c r="J98" s="12" t="inlineStr">
        <is>
          <t>2026–2031; ten-year share</t>
        </is>
      </c>
      <c r="K98" s="12" t="inlineStr">
        <is>
          <t>real 2026 dollars</t>
        </is>
      </c>
      <c r="L98" s="12" t="inlineStr">
        <is>
          <t>low</t>
        </is>
      </c>
      <c r="M98"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98" s="12" t="inlineStr">
        <is>
          <t>SUPERSEDED — Figure 4 dropped; flow-through comparison no longer stated</t>
        </is>
      </c>
    </row>
    <row r="99" ht="63.75" customHeight="1" s="10">
      <c r="A99" s="12" t="inlineStr">
        <is>
          <t>2. CMS estimates</t>
        </is>
      </c>
      <c r="B99" s="13" t="inlineStr">
        <is>
          <t>CE-48</t>
        </is>
      </c>
      <c r="C99" s="12" t="inlineStr">
        <is>
          <t>CMS's word for the 38, 37, 65, 75 and 55 percent figures is 'SDPs'; it uses 'SDP spending' only for the 55–75 percent range</t>
        </is>
      </c>
      <c r="D99" s="12" t="inlineStr">
        <is>
          <t>CMS estimate (wording)</t>
        </is>
      </c>
      <c r="E99" s="12" t="inlineStr">
        <is>
          <t>CMS-2452-P narrative</t>
        </is>
      </c>
      <c r="F99" s="12" t="inlineStr">
        <is>
          <t>91 FR 46592 (R1012); range sentence 91 FR 46592 (CE-31); scenario parameters 91 FR 46593–46594 (CE-32)</t>
        </is>
      </c>
      <c r="G99" s="12" t="inlineStr">
        <is>
          <t>R1012: "We use 65 percent as our assumption about the percentage of SDPs funded through provider taxes"; bracketed preprint shares 'of SDPs'</t>
        </is>
      </c>
      <c r="H99" s="12" t="inlineStr">
        <is>
          <t>Denominator wording of CMS's tax-financing figures</t>
        </is>
      </c>
      <c r="I99" s="12" t="inlineStr">
        <is>
          <t>SDPs</t>
        </is>
      </c>
      <c r="J99" s="12" t="inlineStr">
        <is>
          <t>n/a</t>
        </is>
      </c>
      <c r="K99" s="12" t="inlineStr">
        <is>
          <t>n/a - shares</t>
        </is>
      </c>
      <c r="L99" s="12" t="inlineStr">
        <is>
          <t>all scenarios</t>
        </is>
      </c>
      <c r="M99"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99" s="12" t="inlineStr">
        <is>
          <t>verified with caveat - scenario-parameter wording has no worksheet row</t>
        </is>
      </c>
    </row>
    <row r="100" ht="116.25" customHeight="1" s="10">
      <c r="A100" s="12" t="inlineStr">
        <is>
          <t>2. CMS estimates</t>
        </is>
      </c>
      <c r="B100" s="13" t="inlineStr">
        <is>
          <t>CE-49</t>
        </is>
      </c>
      <c r="C100"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0" s="12" t="inlineStr">
        <is>
          <t>CMS estimate (assumption) + derived arithmetic</t>
        </is>
      </c>
      <c r="E100" s="12" t="inlineStr">
        <is>
          <t>CMS-2452-P narrative</t>
        </is>
      </c>
      <c r="F100" s="12" t="inlineStr">
        <is>
          <t>91 FR 46592; R1012</t>
        </is>
      </c>
      <c r="G100" s="12" t="inlineStr">
        <is>
          <t>Note sec. 2.3</t>
        </is>
      </c>
      <c r="H100" s="12" t="inlineStr">
        <is>
          <t>The tax-financing parameter and its stated derivation</t>
        </is>
      </c>
      <c r="I100" s="12" t="inlineStr">
        <is>
          <t>SDPs</t>
        </is>
      </c>
      <c r="J100" s="12" t="inlineStr">
        <is>
          <t>n/a</t>
        </is>
      </c>
      <c r="K100" s="12" t="inlineStr">
        <is>
          <t>n/a - a share</t>
        </is>
      </c>
      <c r="L100" s="12" t="inlineStr">
        <is>
          <t>primary; range endpoints by scenario</t>
        </is>
      </c>
      <c r="M100"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0" s="12" t="inlineStr">
        <is>
          <t>verified with caveat - CMS's derivation of 55 and 65 is unpublished; the note says so</t>
        </is>
      </c>
    </row>
    <row r="101" ht="178.5" customHeight="1" s="10">
      <c r="A101" s="12" t="inlineStr">
        <is>
          <t>2. CMS estimates</t>
        </is>
      </c>
      <c r="B101" s="13" t="inlineStr">
        <is>
          <t>CE-50</t>
        </is>
      </c>
      <c r="C101"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1" s="12" t="inlineStr">
        <is>
          <t>derived arithmetic [E]/[I]</t>
        </is>
      </c>
      <c r="E101" s="12" t="inlineStr">
        <is>
          <t>Both RIAs, as assembled by [FIRM]</t>
        </is>
      </c>
      <c r="F101" s="12" t="inlineStr">
        <is>
          <t>Note sec. 5 table and source note; R0177, R1008, R0647, R0658, R0669, R0548, R0559, R0570, R0702, R0779, R1009</t>
        </is>
      </c>
      <c r="G101" s="12" t="inlineStr">
        <is>
          <t>Note sec. 5 table; sec. 3 ('The federal and state reductions together equal the Medicaid payments each rule removes')</t>
        </is>
      </c>
      <c r="H101" s="12" t="inlineStr">
        <is>
          <t>Relationships among federal outlays, state outlays, gross provider payments, tax revenue and net provider position</t>
        </is>
      </c>
      <c r="I101" s="12" t="inlineStr">
        <is>
          <t>mixed by row</t>
        </is>
      </c>
      <c r="J101" s="12" t="inlineStr">
        <is>
          <t>FY2026–2035</t>
        </is>
      </c>
      <c r="K101" s="12" t="inlineStr">
        <is>
          <t>real 2026 dollars</t>
        </is>
      </c>
      <c r="L101" s="12" t="inlineStr">
        <is>
          <t>primary, standalone and overlap-adjusted shown separately</t>
        </is>
      </c>
      <c r="M101"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1" s="12" t="inlineStr">
        <is>
          <t>verified</t>
        </is>
      </c>
    </row>
    <row r="102" ht="126.75" customHeight="1" s="10">
      <c r="A102" s="12" t="inlineStr">
        <is>
          <t>2. CMS estimates</t>
        </is>
      </c>
      <c r="B102" s="13" t="inlineStr">
        <is>
          <t>CE-51</t>
        </is>
      </c>
      <c r="C102" s="12" t="inlineStr">
        <is>
          <t>The +$21.7B is the provider tax rule's increment, not the two rules' combined effect, which CMS itself calls a significant reduction; CMS's figures cover all providers, with no separate hospital figure</t>
        </is>
      </c>
      <c r="D102" s="12" t="inlineStr">
        <is>
          <t>derived arithmetic - interpretive [I]/[E]</t>
        </is>
      </c>
      <c r="E102" s="12" t="inlineStr">
        <is>
          <t>CMS-2452-P Tables 4, 14</t>
        </is>
      </c>
      <c r="F102" s="12" t="inlineStr">
        <is>
          <t>Table 14, 91 FR 46593 (R0779); 91 FR 30462; 91 FR 46591; note sec. 4, sec. 5</t>
        </is>
      </c>
      <c r="G102" s="12" t="inlineStr">
        <is>
          <t>Note sec. 4; sec. 5</t>
        </is>
      </c>
      <c r="H102" s="12" t="inlineStr">
        <is>
          <t>What population the net provider line covers</t>
        </is>
      </c>
      <c r="I102" s="12" t="inlineStr">
        <is>
          <t>provider aggregate</t>
        </is>
      </c>
      <c r="J102" s="12" t="inlineStr">
        <is>
          <t>FY2026–2035</t>
        </is>
      </c>
      <c r="K102" s="12" t="inlineStr">
        <is>
          <t>real 2026 dollars</t>
        </is>
      </c>
      <c r="L102" s="12" t="inlineStr">
        <is>
          <t>primary, including interaction</t>
        </is>
      </c>
      <c r="M102"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2" s="12" t="inlineStr">
        <is>
          <t>verified</t>
        </is>
      </c>
    </row>
    <row r="103" ht="32.25" customHeight="1" s="10">
      <c r="A103" s="12" t="inlineStr">
        <is>
          <t>2. CMS estimates</t>
        </is>
      </c>
      <c r="B103" s="13" t="inlineStr">
        <is>
          <t>CE-52</t>
        </is>
      </c>
      <c r="C103" s="12" t="inlineStr">
        <is>
          <t>The provider tax rule's increment runs from a gain to a loss across CMS's scenarios; the two rules stacked reduce provider payments in all three</t>
        </is>
      </c>
      <c r="D103" s="12" t="inlineStr">
        <is>
          <t>derived arithmetic</t>
        </is>
      </c>
      <c r="E103" s="12" t="inlineStr">
        <is>
          <t>CE-18, CE-39, CE-42</t>
        </is>
      </c>
      <c r="F103" s="12" t="inlineStr">
        <is>
          <t>91 FR 46593–46594; 91 FR 30451–30454</t>
        </is>
      </c>
      <c r="G103" s="12" t="inlineStr">
        <is>
          <t>Note Summary of findings; sec. 2.4, caution 4; Figure 5 note</t>
        </is>
      </c>
      <c r="H103" s="12" t="inlineStr">
        <is>
          <t>Sign of the increment and of the stacked figure by scenario</t>
        </is>
      </c>
      <c r="I103" s="12" t="inlineStr">
        <is>
          <t>provider aggregate</t>
        </is>
      </c>
      <c r="J103" s="12" t="inlineStr">
        <is>
          <t>FY2026–2035</t>
        </is>
      </c>
      <c r="K103" s="12" t="inlineStr">
        <is>
          <t>real 2026 dollars</t>
        </is>
      </c>
      <c r="L103" s="12" t="inlineStr">
        <is>
          <t>low / primary / high</t>
        </is>
      </c>
      <c r="M103" s="12" t="inlineStr">
        <is>
          <t>Internal: increment +149.6 / +21.7 / −136.1 (CE-18); stacked −258.8 / −753.2 / −1,125.8 (CE-42, CE-39)</t>
        </is>
      </c>
      <c r="N103" s="12" t="inlineStr">
        <is>
          <t>verified</t>
        </is>
      </c>
    </row>
    <row r="104" ht="168" customHeight="1" s="10">
      <c r="A104" s="12" t="inlineStr">
        <is>
          <t>2. CMS estimates</t>
        </is>
      </c>
      <c r="B104" s="13" t="inlineStr">
        <is>
          <t>CE-53</t>
        </is>
      </c>
      <c r="C104" s="12" t="inlineStr">
        <is>
          <t>Differences of a tenth or two throughout both RIAs come from summing rounded cells; across the two documents the noise floor is 0.3 to 0.4</t>
        </is>
      </c>
      <c r="D104" s="12" t="inlineStr">
        <is>
          <t>derived arithmetic</t>
        </is>
      </c>
      <c r="E104" s="12" t="inlineStr">
        <is>
          <t>Both RIAs</t>
        </is>
      </c>
      <c r="F104" s="12" t="inlineStr">
        <is>
          <t>Note sec. 2.2; worksheet Verification sheet and I-09</t>
        </is>
      </c>
      <c r="G104" s="12" t="inlineStr">
        <is>
          <t>Note sec. 2.2</t>
        </is>
      </c>
      <c r="H104" s="12" t="inlineStr">
        <is>
          <t>Tolerance for sum-of-rounded-cells artifacts</t>
        </is>
      </c>
      <c r="I104" s="12" t="inlineStr">
        <is>
          <t>n/a</t>
        </is>
      </c>
      <c r="J104" s="12" t="inlineStr">
        <is>
          <t>n/a</t>
        </is>
      </c>
      <c r="K104" s="12" t="inlineStr">
        <is>
          <t>real 2026 dollars</t>
        </is>
      </c>
      <c r="L104" s="12" t="inlineStr">
        <is>
          <t>not scenario-dependent</t>
        </is>
      </c>
      <c r="M104"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4" s="12" t="inlineStr">
        <is>
          <t>SUPERSEDED — noise floor no longer stated; rounding stated at CE-17</t>
        </is>
      </c>
    </row>
    <row r="105" ht="126.75" customHeight="1" s="10">
      <c r="A105" s="12" t="inlineStr">
        <is>
          <t>2. CMS estimates</t>
        </is>
      </c>
      <c r="B105" s="13" t="inlineStr">
        <is>
          <t>CE-54</t>
        </is>
      </c>
      <c r="C105" s="12" t="inlineStr">
        <is>
          <t>For the SDP rule, CMS's low-savings and high-savings estimates vary the assumed gaps between commercial, Medicaid and Medicare rates; the Medicaid-to-Medicare and commercial-to-Medicare ratios move together across estimates</t>
        </is>
      </c>
      <c r="D105" s="12" t="inlineStr">
        <is>
          <t>derived arithmetic - interpretive [E]</t>
        </is>
      </c>
      <c r="E105" s="12" t="inlineStr">
        <is>
          <t>CMS-2449-P Tables 14–16</t>
        </is>
      </c>
      <c r="F105" s="12" t="inlineStr">
        <is>
          <t>Tables 14–16, 91 FR 30449–30450; 91 FR 30453–30454; note sec. 3; worksheet Assumptions sheet</t>
        </is>
      </c>
      <c r="G105" s="12" t="inlineStr">
        <is>
          <t>Note sec. 3</t>
        </is>
      </c>
      <c r="H105" s="12" t="inlineStr">
        <is>
          <t>Which assumptions move together across scenarios</t>
        </is>
      </c>
      <c r="I105" s="12" t="inlineStr">
        <is>
          <t>n/a</t>
        </is>
      </c>
      <c r="J105" s="12" t="inlineStr">
        <is>
          <t>n/a</t>
        </is>
      </c>
      <c r="K105" s="12" t="inlineStr">
        <is>
          <t>ratios</t>
        </is>
      </c>
      <c r="L105" s="12" t="inlineStr">
        <is>
          <t>low / primary / high</t>
        </is>
      </c>
      <c r="M105"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5" s="12" t="inlineStr">
        <is>
          <t>verified - against the worksheet's Assumptions sheet</t>
        </is>
      </c>
    </row>
    <row r="106" ht="42.75" customHeight="1" s="10">
      <c r="A106" s="12" t="inlineStr">
        <is>
          <t>2. CMS estimates</t>
        </is>
      </c>
      <c r="B106" s="13" t="inlineStr">
        <is>
          <t>CE-55</t>
        </is>
      </c>
      <c r="C106" s="12" t="inlineStr">
        <is>
          <t>CMS's own narrative describes the $384.0B payment reduction as 'shown in table 12', although it appears in Table 11 and Table 12's provider line is the net −$220.3B; that wording may explain HFMA's reading</t>
        </is>
      </c>
      <c r="D106" s="12" t="inlineStr">
        <is>
          <t>CMS estimate (wording) + interpretive</t>
        </is>
      </c>
      <c r="E106" s="12" t="inlineStr">
        <is>
          <t>CMS-2452-P narrative</t>
        </is>
      </c>
      <c r="F106" s="12" t="inlineStr">
        <is>
          <t>91 FR 46592; R1009</t>
        </is>
      </c>
      <c r="G106" s="12" t="inlineStr">
        <is>
          <t>"Excluding the impacts of the SDP rule, we project that the Federal government and States would pay providers $384.0 billion less from 2026 through 2035 (as shown in table 12)"</t>
        </is>
      </c>
      <c r="H106" s="12" t="inlineStr">
        <is>
          <t>A CMS cross-reference that points to the wrong table</t>
        </is>
      </c>
      <c r="I106" s="12" t="inlineStr">
        <is>
          <t>provider aggregate</t>
        </is>
      </c>
      <c r="J106" s="12" t="inlineStr">
        <is>
          <t>FY2026–2035</t>
        </is>
      </c>
      <c r="K106" s="12" t="inlineStr">
        <is>
          <t>real 2026 dollars</t>
        </is>
      </c>
      <c r="L106" s="12" t="inlineStr">
        <is>
          <t>primary, excluding interaction</t>
        </is>
      </c>
      <c r="M106" s="12" t="inlineStr">
        <is>
          <t>Quotation confirmed verbatim at R1009. Table 11 total −384.0 (R0669); Table 12 providers −220.3 (R0702). 'May explain the reading' is interpretive</t>
        </is>
      </c>
      <c r="N106" s="12" t="inlineStr">
        <is>
          <t>verified - quotation confirmed against the worksheet; the explanatory limb is interpretive</t>
        </is>
      </c>
    </row>
    <row r="107" ht="168" customHeight="1" s="10">
      <c r="A107" s="12" t="inlineStr">
        <is>
          <t>2. CMS estimates</t>
        </is>
      </c>
      <c r="B107" s="13" t="inlineStr">
        <is>
          <t>CE-56</t>
        </is>
      </c>
      <c r="C107" s="12" t="inlineStr">
        <is>
          <t>The SDP rule prices Section 71116 (Tables 18–20) and its extension to other services separately</t>
        </is>
      </c>
      <c r="D107" s="12" t="inlineStr">
        <is>
          <t>CMS estimate [E]</t>
        </is>
      </c>
      <c r="E107" s="12" t="inlineStr">
        <is>
          <t>CMS-2449-P RIA</t>
        </is>
      </c>
      <c r="F107" s="12" t="inlineStr">
        <is>
          <t>Tables 18–20, 91 FR 30451–30452; extension 91 FR 30453; note sec. 3 (first paragraph)</t>
        </is>
      </c>
      <c r="G107" s="12" t="inlineStr">
        <is>
          <t>Note sec. 3</t>
        </is>
      </c>
      <c r="H107" s="12" t="inlineStr">
        <is>
          <t>Separation of statute-required and CMS-added SDP effects</t>
        </is>
      </c>
      <c r="I107" s="12" t="inlineStr">
        <is>
          <t>total computable</t>
        </is>
      </c>
      <c r="J107" s="12" t="inlineStr">
        <is>
          <t>FY2026–2035 (Tables 18–20); FY2029–2035 (extension)</t>
        </is>
      </c>
      <c r="K107" s="12" t="inlineStr">
        <is>
          <t>real 2026 dollars</t>
        </is>
      </c>
      <c r="L107" s="12" t="inlineStr">
        <is>
          <t>central</t>
        </is>
      </c>
      <c r="M107"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07" s="12" t="inlineStr">
        <is>
          <t>verified — upgraded from single-source: re-checked October 13, 2026: Tables 18–20 captions (91 FR 30451–30452) and Table 21 with its text (91 FR 30453) match.</t>
        </is>
      </c>
    </row>
    <row r="108" ht="95.25" customHeight="1" s="10">
      <c r="A108" s="12" t="inlineStr">
        <is>
          <t>2. CMS estimates</t>
        </is>
      </c>
      <c r="B108" s="13" t="inlineStr">
        <is>
          <t>CE-57</t>
        </is>
      </c>
      <c r="C108" s="12" t="inlineStr">
        <is>
          <t>CMS labels the SDP rule's year columns in Tables 18–20 as fiscal years, without saying federal or state; the rule's one-year base for SDPs is federal fiscal year 2025</t>
        </is>
      </c>
      <c r="D108" s="12" t="inlineStr">
        <is>
          <t>CMS estimate (wording) [E]</t>
        </is>
      </c>
      <c r="E108" s="12" t="inlineStr">
        <is>
          <t>CMS-2449-P RIA</t>
        </is>
      </c>
      <c r="F108" s="12" t="inlineStr">
        <is>
          <t>91 FR 30451–30452 (year columns); 91 FR 30447 (FFY2025 base); note sec. 3, App. F ('Draft note, year basis')</t>
        </is>
      </c>
      <c r="G108" s="12" t="inlineStr">
        <is>
          <t>Note sec. 3; App. F</t>
        </is>
      </c>
      <c r="H108" s="12" t="inlineStr">
        <is>
          <t>The year basis of the SDP rule's ten-year window</t>
        </is>
      </c>
      <c r="I108" s="12" t="inlineStr">
        <is>
          <t>total computable</t>
        </is>
      </c>
      <c r="J108" s="12" t="inlineStr">
        <is>
          <t>2026–2035</t>
        </is>
      </c>
      <c r="K108" s="12" t="inlineStr">
        <is>
          <t>real 2026 dollars</t>
        </is>
      </c>
      <c r="L108" s="12" t="inlineStr">
        <is>
          <t>central</t>
        </is>
      </c>
      <c r="M108"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08" s="12" t="inlineStr">
        <is>
          <t>verified — upgraded from single-source: re-checked October 13, 2026: Tables 18–20 head their year column 'Fiscal Year' (91 FR 30451–30452), with no federal or state label; FFY 2025 base at 91 FR 30447.</t>
        </is>
      </c>
    </row>
    <row r="109" ht="84.75" customHeight="1" s="10">
      <c r="A109" s="12" t="inlineStr">
        <is>
          <t>2. CMS estimates</t>
        </is>
      </c>
      <c r="B109" s="13" t="inlineStr">
        <is>
          <t>CE-58</t>
        </is>
      </c>
      <c r="C109" s="12" t="inlineStr">
        <is>
          <t>The provider tax rule gives its $98.6B for calendar year 2026 and says its freeze, which begins October 1, 2026, reduces projected revenue in 2026</t>
        </is>
      </c>
      <c r="D109" s="12" t="inlineStr">
        <is>
          <t>CMS estimate (wording) [E]</t>
        </is>
      </c>
      <c r="E109" s="12" t="inlineStr">
        <is>
          <t>CMS-2452-P RIA</t>
        </is>
      </c>
      <c r="F109" s="12" t="inlineStr">
        <is>
          <t>91 FR 46589; note sec. 3 (year-basis sentence), App. F ('Draft note, year basis')</t>
        </is>
      </c>
      <c r="G109" s="12" t="inlineStr">
        <is>
          <t>Note sec. 3; App. F</t>
        </is>
      </c>
      <c r="H109" s="12" t="inlineStr">
        <is>
          <t>The year basis of the provider tax rule's figures</t>
        </is>
      </c>
      <c r="I109" s="12" t="inlineStr">
        <is>
          <t>state only</t>
        </is>
      </c>
      <c r="J109" s="12" t="inlineStr">
        <is>
          <t>CY2026</t>
        </is>
      </c>
      <c r="K109" s="12" t="inlineStr">
        <is>
          <t>unstated</t>
        </is>
      </c>
      <c r="L109" s="12" t="inlineStr">
        <is>
          <t>central</t>
        </is>
      </c>
      <c r="M109"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09" s="12" t="inlineStr">
        <is>
          <t>verified — upgraded from single-source: re-checked October 13, 2026: 91 FR 46589 matches ($98.6 billion for calendar year 2026; the freeze would begin October 1, 2026 and reduces projected revenue by $2.3 billion in 2026).</t>
        </is>
      </c>
    </row>
    <row r="110" ht="84.75" customHeight="1" s="10">
      <c r="A110" s="12" t="inlineStr">
        <is>
          <t>2. CMS estimates</t>
        </is>
      </c>
      <c r="B110" s="13" t="inlineStr">
        <is>
          <t>CE-59</t>
        </is>
      </c>
      <c r="C110"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0" s="12" t="inlineStr">
        <is>
          <t>derived arithmetic - interpretive [I]</t>
        </is>
      </c>
      <c r="E110" s="12" t="inlineStr">
        <is>
          <t>[FIRM]</t>
        </is>
      </c>
      <c r="F110" s="12" t="inlineStr">
        <is>
          <t>Note sec. 3 (year-basis sentence); App. F ('Draft note, year basis')</t>
        </is>
      </c>
      <c r="G110" s="12" t="inlineStr">
        <is>
          <t>Note sec. 3; App. F</t>
        </is>
      </c>
      <c r="H110" s="12" t="inlineStr">
        <is>
          <t>Comparability of the two rules' windows with each other and with CBO's</t>
        </is>
      </c>
      <c r="I110" s="12" t="inlineStr">
        <is>
          <t>both rules; CBO</t>
        </is>
      </c>
      <c r="J110" s="12" t="inlineStr">
        <is>
          <t>2026–2035 (CMS); FY2025–2034 (CBO)</t>
        </is>
      </c>
      <c r="K110" s="12" t="inlineStr">
        <is>
          <t>n/a</t>
        </is>
      </c>
      <c r="L110" s="12" t="inlineStr">
        <is>
          <t>not scenario-dependent</t>
        </is>
      </c>
      <c r="M110" s="12" t="inlineStr">
        <is>
          <t>Reasoning from CE-57 and CE-58: a fiscal-year column in one rule against a calendar-year figure in the other. Inherits the pinpoint status of both. Explains why SB-26 treats year bases as a possible further difference.</t>
        </is>
      </c>
      <c r="N110" s="12" t="inlineStr">
        <is>
          <t>verified as inference — rests on CE-57 and CE-58, whose pinpoints are unconfirmed</t>
        </is>
      </c>
    </row>
    <row r="111" ht="42.75" customHeight="1" s="10">
      <c r="A111" s="12" t="inlineStr">
        <is>
          <t>2. CMS estimates</t>
        </is>
      </c>
      <c r="B111" s="13" t="inlineStr">
        <is>
          <t>CE-60</t>
        </is>
      </c>
      <c r="C111" s="12" t="inlineStr">
        <is>
          <t>The SDP rule's fee-for-service estimates state no baseline</t>
        </is>
      </c>
      <c r="D111" s="12" t="inlineStr">
        <is>
          <t>CMS estimate (baseline) [I]</t>
        </is>
      </c>
      <c r="E111" s="12" t="inlineStr">
        <is>
          <t>CMS-2449-P RIA</t>
        </is>
      </c>
      <c r="F111" s="12" t="inlineStr">
        <is>
          <t>91 FR 30455; note sec. 3</t>
        </is>
      </c>
      <c r="G111" s="12" t="inlineStr">
        <is>
          <t>Note sec. 3</t>
        </is>
      </c>
      <c r="H111" s="12" t="inlineStr">
        <is>
          <t>Absence of a stated baseline for the FFS estimates</t>
        </is>
      </c>
      <c r="I111" s="12" t="inlineStr">
        <is>
          <t>FFS targeted-payment estimates (CE-05)</t>
        </is>
      </c>
      <c r="J111" s="12" t="inlineStr">
        <is>
          <t>FY2029–2035</t>
        </is>
      </c>
      <c r="K111" s="12" t="inlineStr">
        <is>
          <t>real 2026 dollars</t>
        </is>
      </c>
      <c r="L111" s="12" t="inlineStr">
        <is>
          <t>central</t>
        </is>
      </c>
      <c r="M111" s="12" t="inlineStr">
        <is>
          <t>Round 3 item 1: NOT FOUND for the FFS supplemental-payment estimates; 91 FR 30455 says only that they are 'based on forecasted growth of Medicaid FFS spending'. Contrast the SDP estimates, confirmed at 91 FR 30447 (CE-43).</t>
        </is>
      </c>
      <c r="N111" s="12" t="inlineStr">
        <is>
          <t>verified as scoped — Round 3 item 1</t>
        </is>
      </c>
    </row>
    <row r="112" ht="95.25" customHeight="1" s="10">
      <c r="A112" s="12" t="inlineStr">
        <is>
          <t>2. CMS estimates</t>
        </is>
      </c>
      <c r="B112" s="13" t="inlineStr">
        <is>
          <t>CE-61</t>
        </is>
      </c>
      <c r="C112" s="12" t="inlineStr">
        <is>
          <t>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is>
      </c>
      <c r="D112" s="12" t="inlineStr">
        <is>
          <t>CMS estimate [E]/[I]</t>
        </is>
      </c>
      <c r="E112" s="12" t="inlineStr">
        <is>
          <t>CMS-2449-P; CMS-2452-P</t>
        </is>
      </c>
      <c r="F112" s="12" t="inlineStr">
        <is>
          <t>91 FR 30453–30454; 91 FR 46591–46594; note sec. 3</t>
        </is>
      </c>
      <c r="G112" s="12" t="inlineStr">
        <is>
          <t>Note sec. 3</t>
        </is>
      </c>
      <c r="H112" s="12" t="inlineStr">
        <is>
          <t>How CMS's scenarios are applied</t>
        </is>
      </c>
      <c r="I112" s="12" t="inlineStr">
        <is>
          <t>both rules; national</t>
        </is>
      </c>
      <c r="J112" s="12" t="inlineStr">
        <is>
          <t>FY2026–2035</t>
        </is>
      </c>
      <c r="K112" s="12" t="inlineStr">
        <is>
          <t>real 2026 dollars</t>
        </is>
      </c>
      <c r="L112" s="12" t="inlineStr">
        <is>
          <t>central / low-savings / high-savings</t>
        </is>
      </c>
      <c r="M112"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t>
        </is>
      </c>
      <c r="N112" s="12" t="inlineStr">
        <is>
          <t>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row>
    <row r="113" ht="63.75" customHeight="1" s="10">
      <c r="A113" s="12" t="inlineStr">
        <is>
          <t>2. CMS estimates</t>
        </is>
      </c>
      <c r="B113" s="13" t="inlineStr">
        <is>
          <t>CE-62</t>
        </is>
      </c>
      <c r="C113"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3" s="12" t="inlineStr">
        <is>
          <t>CMS estimate (wording) + interpretive [E]/[I]</t>
        </is>
      </c>
      <c r="E113" s="12" t="inlineStr">
        <is>
          <t>CMS-2452-P RIA</t>
        </is>
      </c>
      <c r="F113" s="12" t="inlineStr">
        <is>
          <t>91 FR 46591–46592; note sec. 3</t>
        </is>
      </c>
      <c r="G113" s="12" t="inlineStr">
        <is>
          <t>Note sec. 3</t>
        </is>
      </c>
      <c r="H113" s="12" t="inlineStr">
        <is>
          <t>Whether CMS's central totals are before or after the state offset</t>
        </is>
      </c>
      <c r="I113" s="12" t="inlineStr">
        <is>
          <t>provider aggregate; total computable</t>
        </is>
      </c>
      <c r="J113" s="12" t="inlineStr">
        <is>
          <t>FY2026–2035</t>
        </is>
      </c>
      <c r="K113" s="12" t="inlineStr">
        <is>
          <t>real 2026 dollars</t>
        </is>
      </c>
      <c r="L113" s="12" t="inlineStr">
        <is>
          <t>central</t>
        </is>
      </c>
      <c r="M113"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3" s="12" t="inlineStr">
        <is>
          <t>verified with caveat — placement confirmed on CMS's text; the net-of-offset reading is [I]</t>
        </is>
      </c>
    </row>
    <row r="114" ht="84.75" customHeight="1" s="10">
      <c r="A114" s="12" t="inlineStr">
        <is>
          <t>2. CMS estimates</t>
        </is>
      </c>
      <c r="B114" s="13" t="inlineStr">
        <is>
          <t>CE-63</t>
        </is>
      </c>
      <c r="C114"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4" s="12" t="inlineStr">
        <is>
          <t>CMS estimate (wording) [E]</t>
        </is>
      </c>
      <c r="E114" s="12" t="inlineStr">
        <is>
          <t>CMS-2449-P RIA</t>
        </is>
      </c>
      <c r="F114" s="12" t="inlineStr">
        <is>
          <t>91 FR 30462; note sec. 3, sec. 4</t>
        </is>
      </c>
      <c r="G114" s="12" t="inlineStr">
        <is>
          <t>Note sec. 3</t>
        </is>
      </c>
      <c r="H114" s="12" t="inlineStr">
        <is>
          <t>CMS's own limits on attributing the SDP rule's reductions</t>
        </is>
      </c>
      <c r="I114" s="12" t="inlineStr">
        <is>
          <t>provider aggregate</t>
        </is>
      </c>
      <c r="J114" s="12" t="inlineStr">
        <is>
          <t>FY2026–2035</t>
        </is>
      </c>
      <c r="K114" s="12" t="inlineStr">
        <is>
          <t>n/a</t>
        </is>
      </c>
      <c r="L114" s="12" t="inlineStr">
        <is>
          <t>not scenario-dependent</t>
        </is>
      </c>
      <c r="M114"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4" s="12" t="inlineStr">
        <is>
          <t>verified with caveat — both hospital readings confirmed at 91 FR 30462; the local-government and indirect-effects wording not separately matched</t>
        </is>
      </c>
    </row>
    <row r="115" ht="95.25" customHeight="1" s="10">
      <c r="A115" s="12" t="inlineStr">
        <is>
          <t>2. CMS estimates</t>
        </is>
      </c>
      <c r="B115" s="13" t="inlineStr">
        <is>
          <t>CE-64</t>
        </is>
      </c>
      <c r="C115" s="12" t="inlineStr">
        <is>
          <t>For the provider tax rule, CMS expects the largest decreases to fall on hospitals</t>
        </is>
      </c>
      <c r="D115" s="12" t="inlineStr">
        <is>
          <t>CMS estimate (wording) [E]</t>
        </is>
      </c>
      <c r="E115" s="12" t="inlineStr">
        <is>
          <t>CMS-2452-P RIA</t>
        </is>
      </c>
      <c r="F115" s="12" t="inlineStr">
        <is>
          <t>91 FR 46591; note sec. 4</t>
        </is>
      </c>
      <c r="G115" s="12" t="inlineStr">
        <is>
          <t>Note sec. 4</t>
        </is>
      </c>
      <c r="H115" s="12" t="inlineStr">
        <is>
          <t>Where CMS expects the provider tax rule's decreases to fall</t>
        </is>
      </c>
      <c r="I115" s="12" t="inlineStr">
        <is>
          <t>provider aggregate</t>
        </is>
      </c>
      <c r="J115" s="12" t="inlineStr">
        <is>
          <t>FY2026–2035</t>
        </is>
      </c>
      <c r="K115" s="12" t="inlineStr">
        <is>
          <t>n/a</t>
        </is>
      </c>
      <c r="L115" s="12" t="inlineStr">
        <is>
          <t>not scenario-dependent</t>
        </is>
      </c>
      <c r="M115"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5" s="12" t="inlineStr">
        <is>
          <t>verified — upgraded from single-source: re-checked October 13, 2026: 91 FR 46591 matches (largest decreases expected in payments to hospitals).</t>
        </is>
      </c>
    </row>
    <row r="116" ht="53.25" customHeight="1" s="10">
      <c r="A116" s="12" t="inlineStr">
        <is>
          <t>2. CMS estimates</t>
        </is>
      </c>
      <c r="B116" s="13" t="inlineStr">
        <is>
          <t>CE-65</t>
        </is>
      </c>
      <c r="C116"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16" s="12" t="inlineStr">
        <is>
          <t>derived arithmetic - assumption [E]/[I]</t>
        </is>
      </c>
      <c r="E116" s="12" t="inlineStr">
        <is>
          <t>CMS-2452-P Table 4; [FIRM]</t>
        </is>
      </c>
      <c r="F116" s="12" t="inlineStr">
        <is>
          <t>Table 4, 91 FR 46589 (R1004); note sec. 4</t>
        </is>
      </c>
      <c r="G116" s="12" t="inlineStr">
        <is>
          <t>Note sec. 4</t>
        </is>
      </c>
      <c r="H116" s="12" t="inlineStr">
        <is>
          <t>Hospital share of provider taxes, and the assumption that it carries to the ten-year relief</t>
        </is>
      </c>
      <c r="I116" s="12" t="inlineStr">
        <is>
          <t>hospitals; provider tax classes</t>
        </is>
      </c>
      <c r="J116" s="12" t="inlineStr">
        <is>
          <t>CY2026; FY2026–2035 (assumed)</t>
        </is>
      </c>
      <c r="K116" s="12" t="inlineStr">
        <is>
          <t>unstated; real 2026 dollars</t>
        </is>
      </c>
      <c r="L116" s="12" t="inlineStr">
        <is>
          <t>central</t>
        </is>
      </c>
      <c r="M116" s="12" t="inlineStr">
        <is>
          <t>Internal: 61.8 / 98.6 = 62.7%, 'most'. The ledger and the note both label the carry-over an assumption; CMS says it cannot attribute the SDP rule's impacts by provider type (CE-63). Decision log decision 3 keeps the sentence with the assumption disclosed.</t>
        </is>
      </c>
      <c r="N116" s="12" t="inlineStr">
        <is>
          <t>verified as assumption — the Table 4 figures are verified (RM-15); the ten-year allocation is THEIA's</t>
        </is>
      </c>
    </row>
    <row r="117" ht="53.25" customHeight="1" s="10">
      <c r="A117" s="12" t="inlineStr">
        <is>
          <t>2. CMS estimates</t>
        </is>
      </c>
      <c r="B117" s="13" t="inlineStr">
        <is>
          <t>CE-66</t>
        </is>
      </c>
      <c r="C117" s="12" t="inlineStr">
        <is>
          <t>Right after its +$21.7B figure for the provider tax rule, CMS says that, taken together, the two proposed rules would on net still leave Medicaid paying providers significantly less over time; the statement is qualitative and gives no combined figure</t>
        </is>
      </c>
      <c r="D117" s="12" t="inlineStr">
        <is>
          <t>CMS estimate (wording) [E]/[I]</t>
        </is>
      </c>
      <c r="E117" s="12" t="inlineStr">
        <is>
          <t>CMS-2452-P RIA</t>
        </is>
      </c>
      <c r="F117" s="12" t="inlineStr">
        <is>
          <t>91 FR 46593 (sec. V, RIA; C.3, after Table 14); note sec. 4, executive summary</t>
        </is>
      </c>
      <c r="G117" s="12" t="inlineStr">
        <is>
          <t>'would still be a significant reduction to provider payments through Medicaid over time'</t>
        </is>
      </c>
      <c r="H117" s="12" t="inlineStr">
        <is>
          <t>CMS's own statement about the two rules' combined effect</t>
        </is>
      </c>
      <c r="I117" s="12" t="inlineStr">
        <is>
          <t>provider aggregate</t>
        </is>
      </c>
      <c r="J117" s="12" t="inlineStr">
        <is>
          <t>over time</t>
        </is>
      </c>
      <c r="K117" s="12" t="inlineStr">
        <is>
          <t>n/a</t>
        </is>
      </c>
      <c r="L117" s="12" t="inlineStr">
        <is>
          <t>not scenario-dependent</t>
        </is>
      </c>
      <c r="M117"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17" s="12" t="inlineStr">
        <is>
          <t>verified — F-011</t>
        </is>
      </c>
    </row>
    <row r="118" ht="95.25" customHeight="1" s="10">
      <c r="A118" s="12" t="inlineStr">
        <is>
          <t>2. CMS estimates</t>
        </is>
      </c>
      <c r="B118" s="13" t="inlineStr">
        <is>
          <t>CE-67</t>
        </is>
      </c>
      <c r="C118" s="12" t="inlineStr">
        <is>
          <t>CMS shows states only as a net loss: $147.5B counting the SDP rule (CMS-2452-P Table 19, 91 FR 46596) and $60.5B for the provider tax rule alone (Table 12); each equals the state reduction ($51.2B or $138.2B) less the $198.7B in lost provider tax collections</t>
        </is>
      </c>
      <c r="D118" s="12" t="inlineStr">
        <is>
          <t>CMS estimate [E] + derived arithmetic [I]</t>
        </is>
      </c>
      <c r="E118" s="12" t="inlineStr">
        <is>
          <t>CMS-2452-P Tables 12, 14, 19</t>
        </is>
      </c>
      <c r="F118" s="12" t="inlineStr">
        <is>
          <t>Table 19 (accounting statement), 91 FR 46596; Table 12, 91 FR 46592; note sec. 3, sec. 5 table</t>
        </is>
      </c>
      <c r="G118" s="12" t="inlineStr">
        <is>
          <t>Note sec. 3</t>
        </is>
      </c>
      <c r="H118" s="12" t="inlineStr">
        <is>
          <t>States' net transfer, with and without the SDP rule's interaction</t>
        </is>
      </c>
      <c r="I118" s="12" t="inlineStr">
        <is>
          <t>states</t>
        </is>
      </c>
      <c r="J118" s="12" t="inlineStr">
        <is>
          <t>2026–2035</t>
        </is>
      </c>
      <c r="K118" s="12" t="inlineStr">
        <is>
          <t>real 2026 dollars</t>
        </is>
      </c>
      <c r="L118" s="12" t="inlineStr">
        <is>
          <t>central</t>
        </is>
      </c>
      <c r="M118"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18" s="12" t="inlineStr">
        <is>
          <t>verified</t>
        </is>
      </c>
    </row>
    <row r="119" ht="53.25" customHeight="1" s="10">
      <c r="A119" s="12" t="inlineStr">
        <is>
          <t>2. CMS estimates</t>
        </is>
      </c>
      <c r="B119" s="13" t="inlineStr">
        <is>
          <t>CE-68</t>
        </is>
      </c>
      <c r="C119" s="12" t="inlineStr">
        <is>
          <t>The provider tax rule's additional state cut after the overlap is $51.2B ($138.2B − $87.0B), the two rules' combined state reduction is $315.9B ($264.7B + $51.2B) and their combined federal reduction is $601.0B ($510.1B + $90.9B); CMS prints none of the three</t>
        </is>
      </c>
      <c r="D119" s="12" t="inlineStr">
        <is>
          <t>derived arithmetic [I]</t>
        </is>
      </c>
      <c r="E119" s="12" t="inlineStr">
        <is>
          <t>CMS-2449-P Tables 19, 20; CMS-2452-P Tables 11, 14</t>
        </is>
      </c>
      <c r="F119" s="12" t="inlineStr">
        <is>
          <t>91 FR 30452; 91 FR 46591–46593; note sec. 3 (table and source note), sec. 5 table</t>
        </is>
      </c>
      <c r="G119" s="12" t="inlineStr">
        <is>
          <t>Note sec. 3 table</t>
        </is>
      </c>
      <c r="H119" s="12" t="inlineStr">
        <is>
          <t>THEIA-derived state and combined government figures</t>
        </is>
      </c>
      <c r="I119" s="12" t="inlineStr">
        <is>
          <t>federal; state</t>
        </is>
      </c>
      <c r="J119" s="12" t="inlineStr">
        <is>
          <t>FY2026–2035</t>
        </is>
      </c>
      <c r="K119" s="12" t="inlineStr">
        <is>
          <t>real 2026 dollars</t>
        </is>
      </c>
      <c r="L119" s="12" t="inlineStr">
        <is>
          <t>central, overlap-adjusted</t>
        </is>
      </c>
      <c r="M119" s="12" t="inlineStr">
        <is>
          <t>Internal: 138.2 − 87.0 = 51.2; 264.7 + 51.2 = 315.9; 510.1 + 90.9 = 601.0; 601.0 + 315.9 = 916.9 (CE-38); 90.9 + 51.2 = 142.1 (CE-16). The $601.0B is confirmed on CMS's tables (F-015); $51.2B is not printed by CMS (Round 2).</t>
        </is>
      </c>
      <c r="N119" s="12" t="inlineStr">
        <is>
          <t>verified as derived</t>
        </is>
      </c>
    </row>
    <row r="120" ht="53.25" customHeight="1" s="10">
      <c r="A120" s="12" t="inlineStr">
        <is>
          <t>2. CMS estimates</t>
        </is>
      </c>
      <c r="B120" s="13" t="inlineStr">
        <is>
          <t>CE-69</t>
        </is>
      </c>
      <c r="C120" s="12" t="inlineStr">
        <is>
          <t>The SDP rule's state figure is a reduction in state spending measured before any change in the provider taxes and IGTs that fund the state share, so THEIA Services gives no state net for it</t>
        </is>
      </c>
      <c r="D120" s="12" t="inlineStr">
        <is>
          <t>derived arithmetic - interpretive [I]</t>
        </is>
      </c>
      <c r="E120" s="12" t="inlineStr">
        <is>
          <t>CMS-2449-P; [FIRM]</t>
        </is>
      </c>
      <c r="F120" s="12" t="inlineStr">
        <is>
          <t>Note sec. 3 (final paragraph); sec. 5 table ('Net for states: Not estimated here')</t>
        </is>
      </c>
      <c r="G120" s="12" t="inlineStr">
        <is>
          <t>Note sec. 3; sec. 5 table</t>
        </is>
      </c>
      <c r="H120" s="12" t="inlineStr">
        <is>
          <t>Why the SDP rule has no state net in the note</t>
        </is>
      </c>
      <c r="I120" s="12" t="inlineStr">
        <is>
          <t>states</t>
        </is>
      </c>
      <c r="J120" s="12" t="inlineStr">
        <is>
          <t>FY2026–2035</t>
        </is>
      </c>
      <c r="K120" s="12" t="inlineStr">
        <is>
          <t>real 2026 dollars</t>
        </is>
      </c>
      <c r="L120" s="12" t="inlineStr">
        <is>
          <t>central</t>
        </is>
      </c>
      <c r="M120" s="12" t="inlineStr">
        <is>
          <t>Follows from CE-40 (CMS: the net change in provider revenue 'could be significantly less' where providers pay the taxes or IGTs) and RM-44 (the financing source decides which rule reaches an SDP). CMS-2449-P's accounting statement is not used for a state net.</t>
        </is>
      </c>
      <c r="N120" s="12" t="inlineStr">
        <is>
          <t>verified as inference</t>
        </is>
      </c>
    </row>
    <row r="121" ht="42.75" customHeight="1" s="10">
      <c r="A121" s="12" t="inlineStr">
        <is>
          <t>2. CMS estimates</t>
        </is>
      </c>
      <c r="B121" s="13" t="inlineStr">
        <is>
          <t>CE-70</t>
        </is>
      </c>
      <c r="C121" s="12" t="inlineStr">
        <is>
          <t>Because provider taxes fund many SDPs and both rules reach tax-financed SDPs, CMS's estimates overlap; any total that adds the two estimates without removing the $241.9B overlap counts $241.9B twice</t>
        </is>
      </c>
      <c r="D121" s="12" t="inlineStr">
        <is>
          <t>derived arithmetic [I]</t>
        </is>
      </c>
      <c r="E121" s="12" t="inlineStr">
        <is>
          <t>CMS-2452-P; [FIRM]</t>
        </is>
      </c>
      <c r="F121" s="12" t="inlineStr">
        <is>
          <t>91 FR 46592; note sec. 2</t>
        </is>
      </c>
      <c r="G121" s="12" t="inlineStr">
        <is>
          <t>Note sec. 2</t>
        </is>
      </c>
      <c r="H121" s="12" t="inlineStr">
        <is>
          <t>The consequence of the overlap for any sum of the two estimates</t>
        </is>
      </c>
      <c r="I121" s="12" t="inlineStr">
        <is>
          <t>provider aggregate; total computable</t>
        </is>
      </c>
      <c r="J121" s="12" t="inlineStr">
        <is>
          <t>FY2026–2035</t>
        </is>
      </c>
      <c r="K121" s="12" t="inlineStr">
        <is>
          <t>real 2026 dollars</t>
        </is>
      </c>
      <c r="L121" s="12" t="inlineStr">
        <is>
          <t>central</t>
        </is>
      </c>
      <c r="M121" s="12" t="inlineStr">
        <is>
          <t>Internal: 384.0 − 142.1 = 241.9 and 154.9 + 87.0 = 241.9 (CE-14, CE-15). Applies to POLITICO's construction (SB-22): its federal side counts the $154.9B twice.</t>
        </is>
      </c>
      <c r="N121" s="12" t="inlineStr">
        <is>
          <t>verified</t>
        </is>
      </c>
    </row>
    <row r="122" ht="157.5" customHeight="1" s="10">
      <c r="A122" s="12" t="inlineStr">
        <is>
          <t>2. CMS estimates</t>
        </is>
      </c>
      <c r="B122" s="13" t="inlineStr">
        <is>
          <t>CE-71</t>
        </is>
      </c>
      <c r="C122" s="12" t="inlineStr">
        <is>
          <t>CMS says the SDP rule's high-savings total includes the additional services the rule would limit, while its central tables cover Section 71116; THEIA Services has not confirmed that the scenarios' scopes match</t>
        </is>
      </c>
      <c r="D122" s="12" t="inlineStr">
        <is>
          <t>CMS estimate (scope) [E]/[I]</t>
        </is>
      </c>
      <c r="E122" s="12" t="inlineStr">
        <is>
          <t>CMS-2449-P RIA</t>
        </is>
      </c>
      <c r="F122" s="12" t="inlineStr">
        <is>
          <t>91 FR 30454 (high-savings total); 91 FR 30451–30452 (central tables); note App. D ('Draft note, SDP rule parameters')</t>
        </is>
      </c>
      <c r="G122" s="12" t="inlineStr">
        <is>
          <t>Note App. D</t>
        </is>
      </c>
      <c r="H122" s="12" t="inlineStr">
        <is>
          <t>Scope of the high-savings total against the central tables</t>
        </is>
      </c>
      <c r="I122" s="12" t="inlineStr">
        <is>
          <t>total computable</t>
        </is>
      </c>
      <c r="J122" s="12" t="inlineStr">
        <is>
          <t>FY2026–2035</t>
        </is>
      </c>
      <c r="K122" s="12" t="inlineStr">
        <is>
          <t>real 2026 dollars</t>
        </is>
      </c>
      <c r="L122" s="12" t="inlineStr">
        <is>
          <t>central vs high-savings</t>
        </is>
      </c>
      <c r="M122"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2"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3" ht="32.25" customHeight="1" s="10">
      <c r="A123" s="12" t="inlineStr">
        <is>
          <t>2. CMS estimates</t>
        </is>
      </c>
      <c r="B123" s="13" t="inlineStr">
        <is>
          <t>CE-72</t>
        </is>
      </c>
      <c r="C123" s="12" t="inlineStr">
        <is>
          <t>CMS-2449-P's Table 19 (91 FR 30452) gives the SDP rule's annual federal figures; CMS-2452-P's Table 19 (91 FR 46596) is the provider tax rule's accounting statement</t>
        </is>
      </c>
      <c r="D123" s="12" t="inlineStr">
        <is>
          <t>CMS estimate (caption) [E]</t>
        </is>
      </c>
      <c r="E123" s="12" t="inlineStr">
        <is>
          <t>CMS-2449-P; CMS-2452-P</t>
        </is>
      </c>
      <c r="F123" s="12" t="inlineStr">
        <is>
          <t>Table 19, 91 FR 30452 (R0177); Table 19, 91 FR 46596 (R1019); note App. E ('Draft note, two Tables 19')</t>
        </is>
      </c>
      <c r="G123" s="12" t="inlineStr">
        <is>
          <t>Note App. E</t>
        </is>
      </c>
      <c r="H123" s="12" t="inlineStr">
        <is>
          <t>Two different tables with the same number</t>
        </is>
      </c>
      <c r="I123" s="12" t="inlineStr">
        <is>
          <t>both rules</t>
        </is>
      </c>
      <c r="J123" s="12" t="inlineStr">
        <is>
          <t>FY2026–2035</t>
        </is>
      </c>
      <c r="K123" s="12" t="inlineStr">
        <is>
          <t>real 2026 dollars</t>
        </is>
      </c>
      <c r="L123" s="12" t="inlineStr">
        <is>
          <t>central</t>
        </is>
      </c>
      <c r="M123" s="12" t="inlineStr">
        <is>
          <t>CE-02 and CE-67 ledger the two tables' contents. Round 2 read Table 19 at 91 FR 46596 from the page image. A citation trap: citing 'Table 19' without the rule gives the wrong table.</t>
        </is>
      </c>
      <c r="N123" s="12" t="inlineStr">
        <is>
          <t>verified</t>
        </is>
      </c>
    </row>
    <row r="124" ht="32.25" customHeight="1" s="10">
      <c r="A124" s="12" t="inlineStr">
        <is>
          <t>2. CMS estimates</t>
        </is>
      </c>
      <c r="B124" s="13" t="inlineStr">
        <is>
          <t>CE-73</t>
        </is>
      </c>
      <c r="C124" s="12" t="inlineStr">
        <is>
          <t>Table 11's annual federal row sums to $245.9B against CMS's stated $245.8B</t>
        </is>
      </c>
      <c r="D124" s="12" t="inlineStr">
        <is>
          <t>derived arithmetic [I]</t>
        </is>
      </c>
      <c r="E124" s="12" t="inlineStr">
        <is>
          <t>CMS-2452-P Table 11</t>
        </is>
      </c>
      <c r="F124" s="12" t="inlineStr">
        <is>
          <t>Table 11, 91 FR 46591; note App. F ('Draft note, the federal reconciliation on CMS's tables')</t>
        </is>
      </c>
      <c r="G124" s="12" t="inlineStr">
        <is>
          <t>Note App. F</t>
        </is>
      </c>
      <c r="H124" s="12" t="inlineStr">
        <is>
          <t>A sum-of-rounded-cells difference</t>
        </is>
      </c>
      <c r="I124" s="12" t="inlineStr">
        <is>
          <t>federal only</t>
        </is>
      </c>
      <c r="J124" s="12" t="inlineStr">
        <is>
          <t>FY2026–2035</t>
        </is>
      </c>
      <c r="K124" s="12" t="inlineStr">
        <is>
          <t>real 2026 dollars</t>
        </is>
      </c>
      <c r="L124" s="12" t="inlineStr">
        <is>
          <t>central, excluding interaction</t>
        </is>
      </c>
      <c r="M124" s="12" t="inlineStr">
        <is>
          <t>Verification summary (F-015 note): Table 11's annual federal row sums to $245.9B against CMS's stated $245.8B, a rounding difference. CE-07 uses the stated $245.8B.</t>
        </is>
      </c>
      <c r="N124" s="12" t="inlineStr">
        <is>
          <t>verified</t>
        </is>
      </c>
    </row>
    <row r="125" ht="53.25" customHeight="1" s="10">
      <c r="A125" s="12" t="inlineStr">
        <is>
          <t>2. CMS estimates</t>
        </is>
      </c>
      <c r="B125" s="13" t="inlineStr">
        <is>
          <t>CE-74</t>
        </is>
      </c>
      <c r="C125"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5" s="12" t="inlineStr">
        <is>
          <t>derived arithmetic - interpretive [I]</t>
        </is>
      </c>
      <c r="E125" s="12" t="inlineStr">
        <is>
          <t>[FIRM]; CMS-2452-P</t>
        </is>
      </c>
      <c r="F125" s="12" t="inlineStr">
        <is>
          <t>Note sec. 7, step 1; sec. 2 (80 percent ceiling)</t>
        </is>
      </c>
      <c r="G125" s="12" t="inlineStr">
        <is>
          <t>Note sec. 7, step 1</t>
        </is>
      </c>
      <c r="H125" s="12" t="inlineStr">
        <is>
          <t>What the hospital-level step 1 omits</t>
        </is>
      </c>
      <c r="I125" s="12" t="inlineStr">
        <is>
          <t>hospital level</t>
        </is>
      </c>
      <c r="J125" s="12" t="inlineStr">
        <is>
          <t>prospective</t>
        </is>
      </c>
      <c r="K125" s="12" t="inlineStr">
        <is>
          <t>n/a</t>
        </is>
      </c>
      <c r="L125" s="12" t="inlineStr">
        <is>
          <t>central</t>
        </is>
      </c>
      <c r="M125" s="12" t="inlineStr">
        <is>
          <t>Arithmetic: 100 − 80 = 20 percent, on the central estimate's ceiling (CE-32). Depends on CE-32, now corrected to state the 80 percent.</t>
        </is>
      </c>
      <c r="N125" s="12" t="inlineStr">
        <is>
          <t>verified as inference — inherits CE-32</t>
        </is>
      </c>
    </row>
    <row r="126" ht="63.75" customHeight="1" s="10">
      <c r="A126" s="12" t="inlineStr">
        <is>
          <t>2. CMS estimates</t>
        </is>
      </c>
      <c r="B126" s="13" t="inlineStr">
        <is>
          <t>CE-75</t>
        </is>
      </c>
      <c r="C126"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26" s="12" t="inlineStr">
        <is>
          <t>derived arithmetic - interpretive [I]</t>
        </is>
      </c>
      <c r="E126" s="12" t="inlineStr">
        <is>
          <t>CMS-2452-P Tables 6–8; [FIRM]</t>
        </is>
      </c>
      <c r="F126" s="12" t="inlineStr">
        <is>
          <t>Note sec. 7, step 2; 91 FR 46589–46590</t>
        </is>
      </c>
      <c r="G126" s="12" t="inlineStr">
        <is>
          <t>Note sec. 7, step 2</t>
        </is>
      </c>
      <c r="H126" s="12" t="inlineStr">
        <is>
          <t>Why the hospital-level and national tax-relief figures differ in kind</t>
        </is>
      </c>
      <c r="I126" s="12" t="inlineStr">
        <is>
          <t>hospital vs national</t>
        </is>
      </c>
      <c r="J126" s="12" t="inlineStr">
        <is>
          <t>FY2026–2035</t>
        </is>
      </c>
      <c r="K126" s="12" t="inlineStr">
        <is>
          <t>real 2026 dollars</t>
        </is>
      </c>
      <c r="L126" s="12" t="inlineStr">
        <is>
          <t>central</t>
        </is>
      </c>
      <c r="M126" s="12" t="inlineStr">
        <is>
          <t>Internal: 51.0 + 147.7 = 198.7 (CE-08); 198.7 − 35.0 = 163.7 (CE-09). Baseline per CE-43.</t>
        </is>
      </c>
      <c r="N126" s="12" t="inlineStr">
        <is>
          <t>verified as inference</t>
        </is>
      </c>
    </row>
    <row r="127" ht="53.25" customHeight="1" s="10">
      <c r="A127" s="12" t="inlineStr">
        <is>
          <t>2. CMS estimates</t>
        </is>
      </c>
      <c r="B127" s="13" t="inlineStr">
        <is>
          <t>CE-76</t>
        </is>
      </c>
      <c r="C127" s="12" t="inlineStr">
        <is>
          <t>CMS's 30 percent offset covers only the provider tax rule's cuts: replacing those cuts beyond 30 percent departs from CMS's assumption, while replacing SDP payments lost to the cap is relief the national range does not include</t>
        </is>
      </c>
      <c r="D127" s="12" t="inlineStr">
        <is>
          <t>derived arithmetic - interpretive [I]</t>
        </is>
      </c>
      <c r="E127" s="12" t="inlineStr">
        <is>
          <t>CMS-2452-P; [FIRM]</t>
        </is>
      </c>
      <c r="F127" s="12" t="inlineStr">
        <is>
          <t>91 FR 46591; note sec. 7, step 3 (third case), sec. 3</t>
        </is>
      </c>
      <c r="G127" s="12" t="inlineStr">
        <is>
          <t>Note sec. 7, step 3</t>
        </is>
      </c>
      <c r="H127" s="12" t="inlineStr">
        <is>
          <t>What the 30 percent offset applies to</t>
        </is>
      </c>
      <c r="I127" s="12" t="inlineStr">
        <is>
          <t>state response</t>
        </is>
      </c>
      <c r="J127" s="12" t="inlineStr">
        <is>
          <t>prospective</t>
        </is>
      </c>
      <c r="K127" s="12" t="inlineStr">
        <is>
          <t>n/a</t>
        </is>
      </c>
      <c r="L127" s="12" t="inlineStr">
        <is>
          <t>central</t>
        </is>
      </c>
      <c r="M127"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27" s="12" t="inlineStr">
        <is>
          <t>verified with caveat — the first limb is confirmed on CMS's text; the second is [I]</t>
        </is>
      </c>
    </row>
    <row r="128" ht="53.25" customHeight="1" s="10">
      <c r="A128" s="12" t="inlineStr">
        <is>
          <t>2. CMS estimates</t>
        </is>
      </c>
      <c r="B128" s="13" t="inlineStr">
        <is>
          <t>CE-77</t>
        </is>
      </c>
      <c r="C128"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28" s="12" t="inlineStr">
        <is>
          <t>derived arithmetic [I]</t>
        </is>
      </c>
      <c r="E128" s="12" t="inlineStr">
        <is>
          <t>[FIRM]</t>
        </is>
      </c>
      <c r="F128" s="12" t="inlineStr">
        <is>
          <t>Note sec. 4 (second paragraph)</t>
        </is>
      </c>
      <c r="G128" s="12" t="inlineStr">
        <is>
          <t>Note sec. 4</t>
        </is>
      </c>
      <c r="H128" s="12" t="inlineStr">
        <is>
          <t>Source of the range's width</t>
        </is>
      </c>
      <c r="I128" s="12" t="inlineStr">
        <is>
          <t>provider aggregate</t>
        </is>
      </c>
      <c r="J128" s="12" t="inlineStr">
        <is>
          <t>FY2026–2035</t>
        </is>
      </c>
      <c r="K128" s="12" t="inlineStr">
        <is>
          <t>real 2026 dollars</t>
        </is>
      </c>
      <c r="L128" s="12" t="inlineStr">
        <is>
          <t>central</t>
        </is>
      </c>
      <c r="M128" s="12" t="inlineStr">
        <is>
          <t>Internal: 753.2 − 488.5 = 264.7, step 3's ceiling (CE-41). The absence of a public source is ledgered at NC-18. The central assumptions are at CE-32.</t>
        </is>
      </c>
      <c r="N128" s="12" t="inlineStr">
        <is>
          <t>verified as derived</t>
        </is>
      </c>
    </row>
    <row r="129" ht="84.75" customHeight="1" s="10">
      <c r="A129" s="12" t="inlineStr">
        <is>
          <t>2. CMS estimates</t>
        </is>
      </c>
      <c r="B129" s="13" t="inlineStr">
        <is>
          <t>CE-78</t>
        </is>
      </c>
      <c r="C129"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29" s="12" t="inlineStr">
        <is>
          <t>contextual - conditional [I]</t>
        </is>
      </c>
      <c r="E129" s="12" t="inlineStr">
        <is>
          <t>[FIRM]</t>
        </is>
      </c>
      <c r="F129" s="12" t="inlineStr">
        <is>
          <t>Note sec. 7, step 3</t>
        </is>
      </c>
      <c r="G129" s="12" t="inlineStr">
        <is>
          <t>Note sec. 7, step 3</t>
        </is>
      </c>
      <c r="H129" s="12" t="inlineStr">
        <is>
          <t>The hospital-level cases for the state's response</t>
        </is>
      </c>
      <c r="I129" s="12" t="inlineStr">
        <is>
          <t>hospital level</t>
        </is>
      </c>
      <c r="J129" s="12" t="inlineStr">
        <is>
          <t>prospective</t>
        </is>
      </c>
      <c r="K129" s="12" t="inlineStr">
        <is>
          <t>n/a</t>
        </is>
      </c>
      <c r="L129" s="12" t="inlineStr">
        <is>
          <t>conditional</t>
        </is>
      </c>
      <c r="M129" s="12" t="inlineStr">
        <is>
          <t>Method, not a finding. Related: RM-50 (state decisions are [C]), CE-76 (the offset assumption), RM-44 (financing source).</t>
        </is>
      </c>
      <c r="N129" s="12" t="inlineStr">
        <is>
          <t>verified as conditional</t>
        </is>
      </c>
    </row>
    <row r="130" ht="74.25" customHeight="1" s="10">
      <c r="A130" s="12" t="inlineStr">
        <is>
          <t>2. CMS estimates</t>
        </is>
      </c>
      <c r="B130" s="13" t="inlineStr">
        <is>
          <t>CE-79</t>
        </is>
      </c>
      <c r="C130"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0" s="12" t="inlineStr">
        <is>
          <t>contextual - interpretive [I]</t>
        </is>
      </c>
      <c r="E130" s="12" t="inlineStr">
        <is>
          <t>[FIRM]</t>
        </is>
      </c>
      <c r="F130" s="12" t="inlineStr">
        <is>
          <t>Note sec. 7 (opening paragraph), executive summary</t>
        </is>
      </c>
      <c r="G130" s="12" t="inlineStr">
        <is>
          <t>Note sec. 7</t>
        </is>
      </c>
      <c r="H130" s="12" t="inlineStr">
        <is>
          <t>Applicability of the national method at hospital level</t>
        </is>
      </c>
      <c r="I130" s="12" t="inlineStr">
        <is>
          <t>hospital level</t>
        </is>
      </c>
      <c r="J130" s="12" t="inlineStr">
        <is>
          <t>prospective</t>
        </is>
      </c>
      <c r="K130" s="12" t="inlineStr">
        <is>
          <t>n/a</t>
        </is>
      </c>
      <c r="L130" s="12" t="inlineStr">
        <is>
          <t>conditional</t>
        </is>
      </c>
      <c r="M130" s="12" t="inlineStr">
        <is>
          <t>Method, not a finding. The data gap it relies on is NC-02; the steps follow CE-39 and CE-41.</t>
        </is>
      </c>
      <c r="N130" s="12" t="inlineStr">
        <is>
          <t>verified as inference</t>
        </is>
      </c>
    </row>
    <row r="131" ht="84.75" customHeight="1" s="10">
      <c r="A131" s="12" t="inlineStr">
        <is>
          <t>2. CMS estimates</t>
        </is>
      </c>
      <c r="B131" s="13" t="inlineStr">
        <is>
          <t>CE-80</t>
        </is>
      </c>
      <c r="C131" s="12" t="inlineStr">
        <is>
          <t>For SDPs projected above 100 percent of Medicare, CMS reports that 39.8 percent were funded partly or wholly by IGTs but not provider taxes, 26.9 percent by provider taxes but not IGTs, and 14.2 percent by both, based on its analysis of 402 SDPs it approved</t>
        </is>
      </c>
      <c r="D131" s="12" t="inlineStr">
        <is>
          <t>CMS estimate [E]</t>
        </is>
      </c>
      <c r="E131" s="12" t="inlineStr">
        <is>
          <t>CMS-2449-P</t>
        </is>
      </c>
      <c r="F131" s="12" t="inlineStr">
        <is>
          <t>91 FR 30410 and footnote 40; note App. C ('Draft note, SDP financing shares')</t>
        </is>
      </c>
      <c r="G131" s="12" t="inlineStr">
        <is>
          <t>Footnote 40: 'This is based on an analysis conducted in June 2025 of 402 SDPs approved by CMS between January 1, 2022 and December 31, 2024'</t>
        </is>
      </c>
      <c r="H131" s="12" t="inlineStr">
        <is>
          <t>Financing mix of above-Medicare SDPs, by number of SDPs analyzed</t>
        </is>
      </c>
      <c r="I131" s="12" t="inlineStr">
        <is>
          <t>402 approved SDPs</t>
        </is>
      </c>
      <c r="J131" s="12" t="inlineStr">
        <is>
          <t>SDPs approved January 1, 2022 – December 31, 2024</t>
        </is>
      </c>
      <c r="K131" s="12" t="inlineStr">
        <is>
          <t>share</t>
        </is>
      </c>
      <c r="L131" s="12" t="inlineStr">
        <is>
          <t>not scenario-dependent</t>
        </is>
      </c>
      <c r="M131"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is>
      </c>
      <c r="N131" s="12" t="inlineStr">
        <is>
          <t>verified with caveat — counts or dollars not stated; sum differs from CMS's printed total by rounding</t>
        </is>
      </c>
    </row>
    <row r="132" ht="84.75" customHeight="1" s="10">
      <c r="A132" s="12" t="inlineStr">
        <is>
          <t>3. The $681B construction</t>
        </is>
      </c>
      <c r="B132" s="13" t="inlineStr">
        <is>
          <t>SB-01</t>
        </is>
      </c>
      <c r="C132"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2" s="12" t="inlineStr">
        <is>
          <t>third-party estimate [I]/[E]</t>
        </is>
      </c>
      <c r="E132" s="12" t="inlineStr">
        <is>
          <t>POLITICO</t>
        </is>
      </c>
      <c r="F132" s="12" t="inlineStr">
        <is>
          <t>POLITICO, news article, Sept 2, 2026; note sec. 5</t>
        </is>
      </c>
      <c r="G132" s="12" t="inlineStr">
        <is>
          <t>"or as hospitals see it, they're losing $681 billion more than they expected"</t>
        </is>
      </c>
      <c r="H132" s="12" t="inlineStr">
        <is>
          <t>The difference between two government budget quantities and a CBO score of the statute</t>
        </is>
      </c>
      <c r="I132" s="12" t="inlineStr">
        <is>
          <t>mixed and internally inconsistent</t>
        </is>
      </c>
      <c r="J132" s="12" t="inlineStr">
        <is>
          <t>mixed</t>
        </is>
      </c>
      <c r="K132" s="12" t="inlineStr">
        <is>
          <t>mixed</t>
        </is>
      </c>
      <c r="L132" s="12" t="inlineStr">
        <is>
          <t>not scenario-dependent as published</t>
        </is>
      </c>
      <c r="M132"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 VERIFIED October 14, 2026, third pass (verification_v4_log.md): POLITICO, September 2, 2026 (user-supplied copy: c0ecf7f8-260902_POLITICO_Report.docx; the copy carries no date line or byline, so the date is the one in the file name and the request). Matched by script: the three sentences the row reports, in order. The ledger's Quote column lower-cases the first word ('or as hospitals see it'); the article starts the sentence with 'Or'.</t>
        </is>
      </c>
      <c r="N132" s="12" t="inlineStr">
        <is>
          <t>verified with caveat — single publisher, no corroborating outlet located — re-checked October 14, 2026, third pass: POLITICO's text matches ($340 billion through 2034; $756 billion federal and $265 billion state savings through 2035; 'as hospitals see it', $681 billion more than expected).</t>
        </is>
      </c>
    </row>
    <row r="133" ht="53.25" customHeight="1" s="10">
      <c r="A133" s="12" t="inlineStr">
        <is>
          <t>3. The $681B construction</t>
        </is>
      </c>
      <c r="B133" s="13" t="inlineStr">
        <is>
          <t>SB-02</t>
        </is>
      </c>
      <c r="C133" s="12" t="inlineStr">
        <is>
          <t>The construction is stated in the article itself: hospitals expected to lose $340B through 2034; the two rules generate roughly $756B federal and $265B state savings through 2035</t>
        </is>
      </c>
      <c r="D133" s="12" t="inlineStr">
        <is>
          <t>third-party estimate</t>
        </is>
      </c>
      <c r="E133" s="12" t="inlineStr">
        <is>
          <t>POLITICO</t>
        </is>
      </c>
      <c r="F133" s="12" t="inlineStr">
        <is>
          <t>Same article</t>
        </is>
      </c>
      <c r="G133" s="12" t="inlineStr">
        <is>
          <t>As quoted in note sec. 3b</t>
        </is>
      </c>
      <c r="H133" s="12" t="inlineStr">
        <is>
          <t>The published construction of the figure</t>
        </is>
      </c>
      <c r="I133" s="12" t="inlineStr">
        <is>
          <t>mixed</t>
        </is>
      </c>
      <c r="J133" s="12" t="inlineStr">
        <is>
          <t>through 2034 and through 2035 in the same sentence</t>
        </is>
      </c>
      <c r="K133" s="12" t="inlineStr">
        <is>
          <t>mixed</t>
        </is>
      </c>
      <c r="L133" s="12" t="inlineStr">
        <is>
          <t>mixed</t>
        </is>
      </c>
      <c r="M133" s="12" t="inlineStr">
        <is>
          <t>Internal: 756 + 265 − 340 = 681 exactly VERIFIED October 14, 2026, third pass (verification_v4_log.md): POLITICO, September 2, 2026 (user-supplied copy: c0ecf7f8-260902_POLITICO_Report.docx; the copy carries no date line or byline, so the date is the one in the file name and the request). Matched by script.</t>
        </is>
      </c>
      <c r="N133" s="12" t="inlineStr">
        <is>
          <t>verified — re-checked October 14, 2026, third pass: POLITICO's construction matches ($340 billion through 2034; $756 billion and $265 billion through 2035); 756 + 265 - 340 = 681.</t>
        </is>
      </c>
    </row>
    <row r="134" ht="53.25" customHeight="1" s="10">
      <c r="A134" s="12" t="inlineStr">
        <is>
          <t>3. The $681B construction</t>
        </is>
      </c>
      <c r="B134" s="13" t="inlineStr">
        <is>
          <t>SB-03</t>
        </is>
      </c>
      <c r="C134" s="12" t="inlineStr">
        <is>
          <t>The framing is "as hospitals see it"</t>
        </is>
      </c>
      <c r="D134" s="12" t="inlineStr">
        <is>
          <t>contextual</t>
        </is>
      </c>
      <c r="E134" s="12" t="inlineStr">
        <is>
          <t>POLITICO</t>
        </is>
      </c>
      <c r="F134" s="12" t="inlineStr">
        <is>
          <t>Same article</t>
        </is>
      </c>
      <c r="G134" s="12" t="inlineStr">
        <is>
          <t>Quoted phrase</t>
        </is>
      </c>
      <c r="H134" s="12" t="inlineStr">
        <is>
          <t>Attribution of viewpoint, not of authorship</t>
        </is>
      </c>
      <c r="I134" s="12" t="inlineStr">
        <is>
          <t>n/a</t>
        </is>
      </c>
      <c r="J134" s="12" t="inlineStr">
        <is>
          <t>n/a</t>
        </is>
      </c>
      <c r="K134" s="12" t="inlineStr">
        <is>
          <t>n/a</t>
        </is>
      </c>
      <c r="L134" s="12" t="inlineStr">
        <is>
          <t>not scenario-dependent</t>
        </is>
      </c>
      <c r="M134" s="12" t="inlineStr">
        <is>
          <t>The note relies on this phrase to avoid attributing the figure to any hospital association VERIFIED October 14, 2026, third pass (verification_v4_log.md): POLITICO, September 2, 2026 (user-supplied copy: c0ecf7f8-260902_POLITICO_Report.docx; the copy carries no date line or byline, so the date is the one in the file name and the request). Matched by script.</t>
        </is>
      </c>
      <c r="N134" s="12" t="inlineStr">
        <is>
          <t>verified — re-checked October 14, 2026, third pass: POLITICO's framing matches ('Or as hospitals see it').</t>
        </is>
      </c>
    </row>
    <row r="135" ht="74.25" customHeight="1" s="10">
      <c r="A135" s="12" t="inlineStr">
        <is>
          <t>3. The $681B construction</t>
        </is>
      </c>
      <c r="B135" s="13" t="inlineStr">
        <is>
          <t>SB-04</t>
        </is>
      </c>
      <c r="C135" s="12" t="inlineStr">
        <is>
          <t>The $756B combines federal figures from both rules</t>
        </is>
      </c>
      <c r="D135" s="12" t="inlineStr">
        <is>
          <t>derived arithmetic [I]</t>
        </is>
      </c>
      <c r="E135" s="12" t="inlineStr">
        <is>
          <t>CMS-2449-P Table 19; CMS-2452-P Table 11</t>
        </is>
      </c>
      <c r="F135" s="12" t="inlineStr">
        <is>
          <t>91 FR 30452; 91 FR 46591</t>
        </is>
      </c>
      <c r="G135" s="12" t="inlineStr">
        <is>
          <t>Note sec. 3b</t>
        </is>
      </c>
      <c r="H135" s="12" t="inlineStr">
        <is>
          <t>Sum of two federal reduction estimates</t>
        </is>
      </c>
      <c r="I135" s="12" t="inlineStr">
        <is>
          <t>federal only</t>
        </is>
      </c>
      <c r="J135" s="12" t="inlineStr">
        <is>
          <t>FY2026–2035</t>
        </is>
      </c>
      <c r="K135" s="12" t="inlineStr">
        <is>
          <t>real 2026 dollars</t>
        </is>
      </c>
      <c r="L135" s="12" t="inlineStr">
        <is>
          <t>primary</t>
        </is>
      </c>
      <c r="M135"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35" s="12" t="inlineStr">
        <is>
          <t>verified</t>
        </is>
      </c>
    </row>
    <row r="136" ht="21.75" customHeight="1" s="10">
      <c r="A136" s="12" t="inlineStr">
        <is>
          <t>3. The $681B construction</t>
        </is>
      </c>
      <c r="B136" s="13" t="inlineStr">
        <is>
          <t>SB-05</t>
        </is>
      </c>
      <c r="C136" s="12" t="inlineStr">
        <is>
          <t>CMS's own accounting identifies $154.9B of federal reduction as common to the two rules</t>
        </is>
      </c>
      <c r="D136" s="12" t="inlineStr">
        <is>
          <t>CMS estimate</t>
        </is>
      </c>
      <c r="E136" s="12" t="inlineStr">
        <is>
          <t>CMS-2452-P</t>
        </is>
      </c>
      <c r="F136" s="12" t="inlineStr">
        <is>
          <t>91 FR 46592; R1011</t>
        </is>
      </c>
      <c r="G136" s="12" t="inlineStr">
        <is>
          <t>Narrative</t>
        </is>
      </c>
      <c r="H136" s="12" t="inlineStr">
        <is>
          <t>Double-counted federal component of the $756B</t>
        </is>
      </c>
      <c r="I136" s="12" t="inlineStr">
        <is>
          <t>federal only</t>
        </is>
      </c>
      <c r="J136" s="12" t="inlineStr">
        <is>
          <t>FY2026–2035</t>
        </is>
      </c>
      <c r="K136" s="12" t="inlineStr">
        <is>
          <t>real 2026 dollars</t>
        </is>
      </c>
      <c r="L136" s="12" t="inlineStr">
        <is>
          <t>primary</t>
        </is>
      </c>
      <c r="M136" s="12" t="inlineStr">
        <is>
          <t>CE-15; the overlap is CMS's own figure, not an adjustment introduced by the note</t>
        </is>
      </c>
      <c r="N136" s="12" t="inlineStr">
        <is>
          <t>verified</t>
        </is>
      </c>
    </row>
    <row r="137" ht="32.25" customHeight="1" s="10">
      <c r="A137" s="12" t="inlineStr">
        <is>
          <t>3. The $681B construction</t>
        </is>
      </c>
      <c r="B137" s="13" t="inlineStr">
        <is>
          <t>SB-06</t>
        </is>
      </c>
      <c r="C137" s="12" t="inlineStr">
        <is>
          <t>The $265B is the SDP rule's state figure alone; the provider tax rule's $138.2B state reduction is not in it</t>
        </is>
      </c>
      <c r="D137" s="12" t="inlineStr">
        <is>
          <t>derived arithmetic</t>
        </is>
      </c>
      <c r="E137" s="12" t="inlineStr">
        <is>
          <t>CMS-2449-P Table 20 (R1008); CMS-2452-P Table 11 (R0658)</t>
        </is>
      </c>
      <c r="F137" s="12" t="inlineStr">
        <is>
          <t>91 FR 30452; 91 FR 46591</t>
        </is>
      </c>
      <c r="G137" s="12" t="inlineStr">
        <is>
          <t>Note sec. 3b</t>
        </is>
      </c>
      <c r="H137" s="12" t="inlineStr">
        <is>
          <t>Asymmetric scope on the state side</t>
        </is>
      </c>
      <c r="I137" s="12" t="inlineStr">
        <is>
          <t>state only</t>
        </is>
      </c>
      <c r="J137" s="12" t="inlineStr">
        <is>
          <t>FY2026–2035</t>
        </is>
      </c>
      <c r="K137" s="12" t="inlineStr">
        <is>
          <t>real 2026 dollars</t>
        </is>
      </c>
      <c r="L137" s="12" t="inlineStr">
        <is>
          <t>primary</t>
        </is>
      </c>
      <c r="M137" s="12" t="inlineStr">
        <is>
          <t>Internal: 264.7 rounds to 265; 138.2 is absent from the total</t>
        </is>
      </c>
      <c r="N137" s="12" t="inlineStr">
        <is>
          <t>verified</t>
        </is>
      </c>
    </row>
    <row r="138" ht="210" customHeight="1" s="10">
      <c r="A138" s="12" t="inlineStr">
        <is>
          <t>3. The $681B construction</t>
        </is>
      </c>
      <c r="B138" s="13" t="inlineStr">
        <is>
          <t>SB-07</t>
        </is>
      </c>
      <c r="C138" s="12" t="inlineStr">
        <is>
          <t>The construction therefore takes both rules on the federal side and one rule on the state side</t>
        </is>
      </c>
      <c r="D138" s="12" t="inlineStr">
        <is>
          <t>derived arithmetic</t>
        </is>
      </c>
      <c r="E138" s="12" t="inlineStr">
        <is>
          <t>As above</t>
        </is>
      </c>
      <c r="F138" s="12" t="inlineStr">
        <is>
          <t>91 FR 30452, 46591–46592</t>
        </is>
      </c>
      <c r="G138" s="12" t="inlineStr">
        <is>
          <t>Note sec. 3b</t>
        </is>
      </c>
      <c r="H138" s="12" t="inlineStr">
        <is>
          <t>Internal inconsistency of scope within one subtraction</t>
        </is>
      </c>
      <c r="I138" s="12" t="inlineStr">
        <is>
          <t>mixed</t>
        </is>
      </c>
      <c r="J138" s="12" t="inlineStr">
        <is>
          <t>FY2026–2035</t>
        </is>
      </c>
      <c r="K138" s="12" t="inlineStr">
        <is>
          <t>real 2026 dollars</t>
        </is>
      </c>
      <c r="L138" s="12" t="inlineStr">
        <is>
          <t>primary</t>
        </is>
      </c>
      <c r="M138"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38" s="12" t="inlineStr">
        <is>
          <t>SUPERSEDED — 'larger figure' reading reversed; replaced by SB-22</t>
        </is>
      </c>
    </row>
    <row r="139" ht="220.5" customHeight="1" s="10">
      <c r="A139" s="12" t="inlineStr">
        <is>
          <t>3. The $681B construction</t>
        </is>
      </c>
      <c r="B139" s="13" t="inlineStr">
        <is>
          <t>SB-08</t>
        </is>
      </c>
      <c r="C139" s="12" t="inlineStr">
        <is>
          <t>The $340B being subtracted is CBO's estimate of the federal Medicaid outlay reduction from Sections 71115 and 71116: $191.1B and $149.4B, or $340.5B, rounded</t>
        </is>
      </c>
      <c r="D139" s="12" t="inlineStr">
        <is>
          <t>third-party estimate</t>
        </is>
      </c>
      <c r="E139" s="12" t="inlineStr">
        <is>
          <t>CBO, as reported by CRS</t>
        </is>
      </c>
      <c r="F139" s="12" t="inlineStr">
        <is>
          <t>CRS R48633, "Health Provisions in P.L. 119-21, the FY2025 Reconciliation Law"; CBO supplemental cost estimate, October 28, 2025 (source rows SB-09, SB-14, SB-15, SB-16)</t>
        </is>
      </c>
      <c r="G139" s="12" t="inlineStr">
        <is>
          <t>Note sec. 3b</t>
        </is>
      </c>
      <c r="H139" s="12" t="inlineStr">
        <is>
          <t>Federal Medicaid outlay reduction from the statute</t>
        </is>
      </c>
      <c r="I139" s="12" t="inlineStr">
        <is>
          <t>federal only</t>
        </is>
      </c>
      <c r="J139" s="12" t="inlineStr">
        <is>
          <t>FY2025–2034</t>
        </is>
      </c>
      <c r="K139" s="12" t="inlineStr">
        <is>
          <t>nominal</t>
        </is>
      </c>
      <c r="L139" s="12" t="inlineStr">
        <is>
          <t>not scenario-dependent (enacted law)</t>
        </is>
      </c>
      <c r="M139"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39" s="12" t="inlineStr">
        <is>
          <t>SUPERSEDED — identity restated as a match; replaced by SB-17 and SB-18</t>
        </is>
      </c>
    </row>
    <row r="140" ht="199.5" customHeight="1" s="10">
      <c r="A140" s="12" t="inlineStr">
        <is>
          <t>3. The $681B construction</t>
        </is>
      </c>
      <c r="B140" s="13" t="inlineStr">
        <is>
          <t>SB-09</t>
        </is>
      </c>
      <c r="C140" s="12" t="inlineStr">
        <is>
          <t>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is>
      </c>
      <c r="D140" s="12" t="inlineStr">
        <is>
          <t>third-party estimate [E]/[I]</t>
        </is>
      </c>
      <c r="E140" s="12" t="inlineStr">
        <is>
          <t>CBO</t>
        </is>
      </c>
      <c r="F140" s="12" t="inlineStr">
        <is>
          <t>CBO, October 28, 2025, pp. 4–5 (Sec. 71115 'will decrease deficits by $182.7 billion over the 2025-2034 period', p. 5); CBO, July 21, 2025, Table 7; note App. F ('Draft note, CBO's two measures')</t>
        </is>
      </c>
      <c r="G140" s="12" t="inlineStr">
        <is>
          <t>Note App. F</t>
        </is>
      </c>
      <c r="H140" s="12" t="inlineStr">
        <is>
          <t>Net federal deficit effect of the statute: outlay reduction less revenue loss</t>
        </is>
      </c>
      <c r="I140" s="12" t="inlineStr">
        <is>
          <t>federal only</t>
        </is>
      </c>
      <c r="J140" s="12" t="inlineStr">
        <is>
          <t>FY2025–2034</t>
        </is>
      </c>
      <c r="K140" s="12" t="inlineStr">
        <is>
          <t>nominal</t>
        </is>
      </c>
      <c r="L140" s="12" t="inlineStr">
        <is>
          <t>not scenario-dependent (enacted law)</t>
        </is>
      </c>
      <c r="M140"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 RE-CHECKED October 14, 2026, third pass, part 2 (verification_v4_log.md): Matched by script. CBO, October 28, 2025, Supplemental Cost Estimate (user-supplied copy: 48458f96-CBO_61837.pdf), p. 5: 'section 71115 will decrease deficits by $182.7 billion over the 2025-2034 period'. CBO, July 21, 2025, Table 7 (sheet 'Title VII'; user-supplied copy: 128e9e8c-CBO_61570.xlsx): O253 = -191,118 (outlays) and O850 = -8,424 (revenues); 191,118 - 8,424 = 182,694, so $182.7B is the outlay figure less the revenue loss, as the row says. But neither file prints a deficit figure for Sec. 71116: the PDF gives it only as outlays ('will decrease federal outlays for Medicaid by $149.4 billion', p. 5), and Sec. 71116 appears once in Table 7, in the outlay block (row 255), with no revenue line. So the $332.1B (printed in neither file) adds a deficit figure to an outlay figure; that is consistent with Table 7 showing no revenue effect for Sec. 71116, but CBO does not say so.</t>
        </is>
      </c>
      <c r="N140" s="12" t="inlineStr">
        <is>
          <t>verified with caveat — CBO prints no deficit figure for Sec. 71116; the $332.1B adds its outlay figure (Table 7 lists no revenue effect for it), as the row's [I] says</t>
        </is>
      </c>
    </row>
    <row r="141" ht="178.5" customHeight="1" s="10">
      <c r="A141" s="12" t="inlineStr">
        <is>
          <t>3. The $681B construction</t>
        </is>
      </c>
      <c r="B141" s="13" t="inlineStr">
        <is>
          <t>SB-10</t>
        </is>
      </c>
      <c r="C141" s="12" t="inlineStr">
        <is>
          <t>Both sides of the subtraction are the same policy scored on incompatible bases, differing on at least five axes</t>
        </is>
      </c>
      <c r="D141" s="12" t="inlineStr">
        <is>
          <t>derived arithmetic</t>
        </is>
      </c>
      <c r="E141" s="12" t="inlineStr">
        <is>
          <t>CBO and both RIAs</t>
        </is>
      </c>
      <c r="F141" s="12" t="inlineStr">
        <is>
          <t>Note footnote 4 (footnote 5 before the restructure)</t>
        </is>
      </c>
      <c r="G141" s="12" t="inlineStr">
        <is>
          <t>Footnote 4</t>
        </is>
      </c>
      <c r="H141" s="12" t="inlineStr">
        <is>
          <t>Basis incomparability</t>
        </is>
      </c>
      <c r="I141" s="12" t="inlineStr">
        <is>
          <t>mixed</t>
        </is>
      </c>
      <c r="J141" s="12" t="inlineStr">
        <is>
          <t>2025–2034 vs 2026–2035</t>
        </is>
      </c>
      <c r="K141" s="12" t="inlineStr">
        <is>
          <t>nominal vs real 2026</t>
        </is>
      </c>
      <c r="L141" s="12" t="inlineStr">
        <is>
          <t>statutory score vs regulatory estimate</t>
        </is>
      </c>
      <c r="M141"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1" s="12" t="inlineStr">
        <is>
          <t>SUPERSEDED — federal-only axis removed from footnote 4; replaced by SB-21</t>
        </is>
      </c>
    </row>
    <row r="142" ht="74.25" customHeight="1" s="10">
      <c r="A142" s="12" t="inlineStr">
        <is>
          <t>3. The $681B construction</t>
        </is>
      </c>
      <c r="B142" s="13" t="inlineStr">
        <is>
          <t>SB-11</t>
        </is>
      </c>
      <c r="C142" s="12" t="inlineStr">
        <is>
          <t>No independent derivation of the $681B predating Sept 2, 2026 was located</t>
        </is>
      </c>
      <c r="D142" s="12" t="inlineStr">
        <is>
          <t>negative claim [I]</t>
        </is>
      </c>
      <c r="E142" s="12" t="inlineStr">
        <is>
          <t>See C-4 for full scope</t>
        </is>
      </c>
      <c r="F142" s="12" t="inlineStr">
        <is>
          <t>Searches of association public records, docket comment letters and consultancy publications</t>
        </is>
      </c>
      <c r="G142" s="12" t="inlineStr">
        <is>
          <t>Absence</t>
        </is>
      </c>
      <c r="H142" s="12" t="inlineStr">
        <is>
          <t>Absence of a hospital-association model</t>
        </is>
      </c>
      <c r="I142" s="12" t="inlineStr">
        <is>
          <t>n/a</t>
        </is>
      </c>
      <c r="J142" s="12" t="inlineStr">
        <is>
          <t>before Sept 2, 2026 (note); comment records through October 7, 2026 (App. G)</t>
        </is>
      </c>
      <c r="K142" s="12" t="inlineStr">
        <is>
          <t>n/a</t>
        </is>
      </c>
      <c r="L142" s="12" t="inlineStr">
        <is>
          <t>not scenario-dependent</t>
        </is>
      </c>
      <c r="M142"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2" s="12" t="inlineStr">
        <is>
          <t>verified as scoped</t>
        </is>
      </c>
    </row>
    <row r="143" ht="84.75" customHeight="1" s="10">
      <c r="A143" s="12" t="inlineStr">
        <is>
          <t>3. The $681B construction</t>
        </is>
      </c>
      <c r="B143" s="13" t="inlineStr">
        <is>
          <t>SB-12</t>
        </is>
      </c>
      <c r="C143" s="12" t="inlineStr">
        <is>
          <t>One later comment restates the $681B as a hospital loss with no source or derivation (comment CMS-2026-2476-0079)</t>
        </is>
      </c>
      <c r="D143" s="12" t="inlineStr">
        <is>
          <t>negative claim [E]</t>
        </is>
      </c>
      <c r="E143" s="12" t="inlineStr">
        <is>
          <t>See C-4</t>
        </is>
      </c>
      <c r="F143" s="12" t="inlineStr">
        <is>
          <t>Comment CMS-2026-2476-0079; note sec. 5, App. G</t>
        </is>
      </c>
      <c r="G143" s="12" t="inlineStr">
        <is>
          <t>Note sec. 5; App. G</t>
        </is>
      </c>
      <c r="H143" s="12" t="inlineStr">
        <is>
          <t>n/a</t>
        </is>
      </c>
      <c r="I143" s="12" t="inlineStr">
        <is>
          <t>n/a</t>
        </is>
      </c>
      <c r="J143" s="12" t="inlineStr">
        <is>
          <t>comment records through October 7, 2026</t>
        </is>
      </c>
      <c r="K143" s="12" t="inlineStr">
        <is>
          <t>n/a</t>
        </is>
      </c>
      <c r="L143" s="12" t="inlineStr">
        <is>
          <t>not scenario-dependent</t>
        </is>
      </c>
      <c r="M143"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3" s="12" t="inlineStr">
        <is>
          <t>verified as scoped — re-checked October 13, 2026: comment CMS-2026-2476-0079, an individual's, restates $681 billion as a hospital loss with no source; it is the only comment in either docket with $681 billion.</t>
        </is>
      </c>
    </row>
    <row r="144" ht="105.75" customHeight="1" s="10">
      <c r="A144" s="12" t="inlineStr">
        <is>
          <t>3. The $681B construction</t>
        </is>
      </c>
      <c r="B144" s="13" t="inlineStr">
        <is>
          <t>SB-13</t>
        </is>
      </c>
      <c r="C144" s="12" t="inlineStr">
        <is>
          <t>The figure is attributed to construction rather than to intent</t>
        </is>
      </c>
      <c r="D144" s="12" t="inlineStr">
        <is>
          <t>contextual — interpretive</t>
        </is>
      </c>
      <c r="E144" s="12" t="inlineStr">
        <is>
          <t>[FIRM]</t>
        </is>
      </c>
      <c r="F144" s="12" t="inlineStr">
        <is>
          <t>Note sec. 3b</t>
        </is>
      </c>
      <c r="G144" s="12" t="inlineStr">
        <is>
          <t>Narrative</t>
        </is>
      </c>
      <c r="H144" s="12" t="inlineStr">
        <is>
          <t>Characterization of how the figure arose</t>
        </is>
      </c>
      <c r="I144" s="12" t="inlineStr">
        <is>
          <t>n/a</t>
        </is>
      </c>
      <c r="J144" s="12" t="inlineStr">
        <is>
          <t>n/a</t>
        </is>
      </c>
      <c r="K144" s="12" t="inlineStr">
        <is>
          <t>n/a</t>
        </is>
      </c>
      <c r="L144" s="12" t="inlineStr">
        <is>
          <t>not scenario-dependent</t>
        </is>
      </c>
      <c r="M144"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44" s="12" t="inlineStr">
        <is>
          <t>SUPERSEDED — motive reasoning withdrawn; replaced by SB-25</t>
        </is>
      </c>
    </row>
    <row r="145" ht="126.75" customHeight="1" s="10">
      <c r="A145" s="12" t="inlineStr">
        <is>
          <t>3. The $681B construction</t>
        </is>
      </c>
      <c r="B145" s="13" t="inlineStr">
        <is>
          <t>SB-14</t>
        </is>
      </c>
      <c r="C145" s="12" t="inlineStr">
        <is>
          <t>CBO estimates that Section 71115 would reduce federal Medicaid outlays by $191.1B and Section 71116 by $149.4B over fiscal years 2025–2034, in dollars not adjusted for inflation</t>
        </is>
      </c>
      <c r="D145" s="12" t="inlineStr">
        <is>
          <t>third-party estimate [E]</t>
        </is>
      </c>
      <c r="E145" s="12" t="inlineStr">
        <is>
          <t>CBO</t>
        </is>
      </c>
      <c r="F145" s="12" t="inlineStr">
        <is>
          <t>CBO, July 21, 2025, Table 7 (Sec. 71115 outlays −$191,118 million; Sec. 71116 −$149,424 million); CBO, October 28, 2025, pp. 4–5; note sec. 5</t>
        </is>
      </c>
      <c r="G145" s="12" t="inlineStr">
        <is>
          <t>Sec. 71115 outlays −$191,118 million; Sec. 71116 outlays −$149,424 million, FY2025–2034</t>
        </is>
      </c>
      <c r="H145" s="12" t="inlineStr">
        <is>
          <t>Federal Medicaid outlay reduction</t>
        </is>
      </c>
      <c r="I145" s="12" t="inlineStr">
        <is>
          <t>federal only</t>
        </is>
      </c>
      <c r="J145" s="12" t="inlineStr">
        <is>
          <t>FY2025–2034</t>
        </is>
      </c>
      <c r="K145" s="12" t="inlineStr">
        <is>
          <t>nominal</t>
        </is>
      </c>
      <c r="L145" s="12" t="inlineStr">
        <is>
          <t>not scenario-dependent (enacted law)</t>
        </is>
      </c>
      <c r="M145"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 RE-CHECKED October 14, 2026, third pass, part 2 (verification_v4_log.md): Figures matched by script against CBO, July 21, 2025, Table 7 (sheet 'Title VII'; user-supplied copy: 128e9e8c-CBO_61570.xlsx): O253 = -191,118 and O257 = -149,424, 2025-2034. But the row (and v17 sec. 5) also cites the October 28, 2025 estimate, pp. 4-5, for both outlay figures; that document prints Sec. 71116's $149.4B as outlays (p. 5) and Sec. 71115 only as '$182.7 billion' in deficits (p. 5); it does not print $191.1B. Neither file states that the dollars are not adjusted for inflation or are nominal (searched by script: no 'nominal' and no 'not adjusted for inflation'; the spreadsheet's only mention of inflation is in its unfunded-mandates note); Table 7 says only 'By Fiscal Year, Millions of Dollars'.</t>
        </is>
      </c>
      <c r="N145" s="12" t="inlineStr">
        <is>
          <t>corrected — source says: “section 71115 will decrease deficits by $182.7 billion over the 2025-2034 period” (CBO, October 28, 2025, p. 5; user-supplied copy: 48458f96-CBO_61837.pdf). v17 must change Sec. 5 (see verification_v4_log.md). Base status was verified — Round 2 (CBO cells); the figures match Table 7, but the October 28 estimate gives Sec. 71115 only on the deficit measure, and neither file says the dollars are unadjusted for inflation.</t>
        </is>
      </c>
    </row>
    <row r="146" ht="105.75" customHeight="1" s="10">
      <c r="A146" s="12" t="inlineStr">
        <is>
          <t>3. The $681B construction</t>
        </is>
      </c>
      <c r="B146" s="13" t="inlineStr">
        <is>
          <t>SB-15</t>
        </is>
      </c>
      <c r="C146" s="12" t="inlineStr">
        <is>
          <t>Section 71115 reduces federal revenues by $8.4B over FY2025–2034, the difference between CBO's outlay figure and its deficit figure for the section</t>
        </is>
      </c>
      <c r="D146" s="12" t="inlineStr">
        <is>
          <t>third-party estimate [E]</t>
        </is>
      </c>
      <c r="E146" s="12" t="inlineStr">
        <is>
          <t>CBO, as reported by CRS</t>
        </is>
      </c>
      <c r="F146" s="12" t="inlineStr">
        <is>
          <t>CBO, October 28, 2025, pp. 4–5; CBO, July 21, 2025, Table 7 (revenue cell O850); note App. F</t>
        </is>
      </c>
      <c r="G146" s="12" t="inlineStr">
        <is>
          <t>Sec. 71115 revenues −$8,424 million</t>
        </is>
      </c>
      <c r="H146" s="12" t="inlineStr">
        <is>
          <t>Federal revenue effect of the statute</t>
        </is>
      </c>
      <c r="I146" s="12" t="inlineStr">
        <is>
          <t>federal only</t>
        </is>
      </c>
      <c r="J146" s="12" t="inlineStr">
        <is>
          <t>FY2025–2034</t>
        </is>
      </c>
      <c r="K146" s="12" t="inlineStr">
        <is>
          <t>nominal</t>
        </is>
      </c>
      <c r="L146" s="12" t="inlineStr">
        <is>
          <t>not scenario-dependent (enacted law)</t>
        </is>
      </c>
      <c r="M146"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 RE-CHECKED October 14, 2026, third pass, part 2 (verification_v4_log.md): Matched by script. CBO, July 21, 2025, Table 7 (sheet 'Title VII'; user-supplied copy: 128e9e8c-CBO_61570.xlsx): O850 = -8,424 (Sec. 71115 'Estimated Revenues'); O253 = -191,118 (outlays); CBO, October 28, 2025, Supplemental Cost Estimate (user-supplied copy: 48458f96-CBO_61837.pdf), p. 5: $182.7B in deficits. 191,118 - 182,694 = 8,424, so $8.4B is the gap between the two measures, as the row says.</t>
        </is>
      </c>
      <c r="N146" s="12" t="inlineStr">
        <is>
          <t>verified — Round 2 (CBO cells)</t>
        </is>
      </c>
    </row>
    <row r="147" ht="116.25" customHeight="1" s="10">
      <c r="A147" s="12" t="inlineStr">
        <is>
          <t>3. The $681B construction</t>
        </is>
      </c>
      <c r="B147" s="13" t="inlineStr">
        <is>
          <t>SB-16</t>
        </is>
      </c>
      <c r="C147" s="12" t="inlineStr">
        <is>
          <t>CBO's outlay estimates for Sections 71115 and 71116 sum to $340.5B, the source of POLITICO's rounded $340B</t>
        </is>
      </c>
      <c r="D147" s="12" t="inlineStr">
        <is>
          <t>derived arithmetic</t>
        </is>
      </c>
      <c r="E147" s="12" t="inlineStr">
        <is>
          <t>CBO, as reported by CRS</t>
        </is>
      </c>
      <c r="F147" s="12" t="inlineStr">
        <is>
          <t>CRS R48633</t>
        </is>
      </c>
      <c r="G147" s="12" t="inlineStr">
        <is>
          <t>Outlays −$191,118 million (Sec. 71115) and −$149,424 million (Sec. 71116)</t>
        </is>
      </c>
      <c r="H147" s="12" t="inlineStr">
        <is>
          <t>Combined federal Medicaid outlay reduction from the two statutory sections</t>
        </is>
      </c>
      <c r="I147" s="12" t="inlineStr">
        <is>
          <t>federal only</t>
        </is>
      </c>
      <c r="J147" s="12" t="inlineStr">
        <is>
          <t>FY2025–2034</t>
        </is>
      </c>
      <c r="K147" s="12" t="inlineStr">
        <is>
          <t>nominal</t>
        </is>
      </c>
      <c r="L147" s="12" t="inlineStr">
        <is>
          <t>not scenario-dependent (enacted law)</t>
        </is>
      </c>
      <c r="M147"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47" s="12" t="inlineStr">
        <is>
          <t>SUPERSEDED — source attribution withdrawn; replaced by SB-17 and SB-18</t>
        </is>
      </c>
    </row>
    <row r="148" ht="74.25" customHeight="1" s="10">
      <c r="A148" s="12" t="inlineStr">
        <is>
          <t>3. The $681B construction</t>
        </is>
      </c>
      <c r="B148" s="13" t="inlineStr">
        <is>
          <t>SB-17</t>
        </is>
      </c>
      <c r="C148" s="12" t="inlineStr">
        <is>
          <t>CBO's outlay estimates for Sections 71115 and 71116 sum to $340.5B, a sum CBO does not print; POLITICO's $340B matches it</t>
        </is>
      </c>
      <c r="D148" s="12" t="inlineStr">
        <is>
          <t>derived arithmetic [I]</t>
        </is>
      </c>
      <c r="E148" s="12" t="inlineStr">
        <is>
          <t>CBO, as reported by CRS</t>
        </is>
      </c>
      <c r="F148" s="12" t="inlineStr">
        <is>
          <t>CBO, July 21, 2025, Table 7; CBO, October 28, 2025, pp. 4–5; note sec. 5</t>
        </is>
      </c>
      <c r="G148" s="12" t="inlineStr">
        <is>
          <t>Outlays −$191,118 million (Sec. 71115) and −$149,424 million (Sec. 71116)</t>
        </is>
      </c>
      <c r="H148" s="12" t="inlineStr">
        <is>
          <t>Combined federal Medicaid outlay reduction from the two statutory sections</t>
        </is>
      </c>
      <c r="I148" s="12" t="inlineStr">
        <is>
          <t>federal only</t>
        </is>
      </c>
      <c r="J148" s="12" t="inlineStr">
        <is>
          <t>FY2025–2034</t>
        </is>
      </c>
      <c r="K148" s="12" t="inlineStr">
        <is>
          <t>nominal</t>
        </is>
      </c>
      <c r="L148" s="12" t="inlineStr">
        <is>
          <t>not scenario-dependent (enacted law)</t>
        </is>
      </c>
      <c r="M148"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 RE-CHECKED October 14, 2026, third pass, part 2 (verification_v4_log.md): Matched by script. Table 7 (sheet 'Title VII'), millions of dollars, 2025-2034 column O: Sec. 71115 'Estimated Outlays' O253 = -191,118; Sec. 71116 'Estimated Outlays' O257 = -149,424; Sec. 71115 'Estimated Revenues' O850 = -8,424. 191,118 + 149,424 = 340,542, which CBO prints nowhere in either file. Of the row's two citations, Table 7 carries both outlay figures; the October 28, 2025 estimate prints only Sec. 71116's ($149.4B, p. 5) and gives Sec. 71115 as $182.7B in deficits (see SB-14).</t>
        </is>
      </c>
      <c r="N148" s="12" t="inlineStr">
        <is>
          <t>verified — Round 2</t>
        </is>
      </c>
    </row>
    <row r="149" ht="116.25" customHeight="1" s="10">
      <c r="A149" s="12" t="inlineStr">
        <is>
          <t>3. The $681B construction</t>
        </is>
      </c>
      <c r="B149" s="13" t="inlineStr">
        <is>
          <t>SB-18</t>
        </is>
      </c>
      <c r="C149" s="12" t="inlineStr">
        <is>
          <t>The article names no source for the $340B; POLITICO's $340B matches, to rounding, the $340.5B sum of CBO's outlay estimates for Sections 71115 and 71116</t>
        </is>
      </c>
      <c r="D149" s="12" t="inlineStr">
        <is>
          <t>derived arithmetic + negative claim [I]</t>
        </is>
      </c>
      <c r="E149" s="12" t="inlineStr">
        <is>
          <t>POLITICO; CBO</t>
        </is>
      </c>
      <c r="F149" s="12" t="inlineStr">
        <is>
          <t>POLITICO, Sept 2, 2026; CBO, July 21, 2025, Table 7; note sec. 5</t>
        </is>
      </c>
      <c r="G149" s="12" t="inlineStr">
        <is>
          <t>Note sec. 5: 'The article names no source for the $340 billion.'</t>
        </is>
      </c>
      <c r="H149" s="12" t="inlineStr">
        <is>
          <t>Correspondence between POLITICO's $340B and CBO's figure</t>
        </is>
      </c>
      <c r="I149" s="12" t="inlineStr">
        <is>
          <t>federal only</t>
        </is>
      </c>
      <c r="J149" s="12" t="inlineStr">
        <is>
          <t>through 2034</t>
        </is>
      </c>
      <c r="K149" s="12" t="inlineStr">
        <is>
          <t>nominal</t>
        </is>
      </c>
      <c r="L149" s="12" t="inlineStr">
        <is>
          <t>not scenario-dependent</t>
        </is>
      </c>
      <c r="M149"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 VERIFIED October 14, 2026, third pass, part 2 (verification_v4_log.md): CBO limb matched by script against CBO, July 21, 2025, Table 7 (sheet 'Title VII'; user-supplied copy: 128e9e8c-CBO_61570.xlsx): Table 7 (sheet 'Title VII'), millions of dollars, 2025-2034 column O: Sec. 71115 'Estimated Outlays' O253 = -191,118; Sec. 71116 'Estimated Outlays' O257 = -149,424; Sec. 71115 'Estimated Revenues' O850 = -8,424. 191,118 + 149,424 = 340,542, which CBO prints nowhere in either file. With the POLITICO limb checked in part 1, the row matches as scoped: the correspondence is THEIA Services' arithmetic, not an attribution in the article.</t>
        </is>
      </c>
      <c r="N149" s="12" t="inlineStr">
        <is>
          <t>verified as scoped - the match is arithmetic; 'names no source' is a reading of one article — re-checked October 14, 2026, third pass (part 2, CBO): both limbs match. POLITICO limb (part 1, user-supplied copy: c0ecf7f8-260902_POLITICO_Report.docx): the article gives the $340 billion with no source and never names CBO. CBO limb (user-supplied copy: 128e9e8c-CBO_61570.xlsx): Table 7 prints Sec. 71115 outlays -$191,118 million (O253) and Sec. 71116 -$149,424 million (O257); their sum, $340.5 billion, is not printed by CBO and rounds to $340 billion.</t>
        </is>
      </c>
    </row>
    <row r="150" ht="126.75" customHeight="1" s="10">
      <c r="A150" s="12" t="inlineStr">
        <is>
          <t>3. The $681B construction</t>
        </is>
      </c>
      <c r="B150" s="13" t="inlineStr">
        <is>
          <t>SB-19</t>
        </is>
      </c>
      <c r="C150" s="12" t="inlineStr">
        <is>
          <t>The article showed its arithmetic, which is what makes it checkable</t>
        </is>
      </c>
      <c r="D150" s="12" t="inlineStr">
        <is>
          <t>contextual - interpretive</t>
        </is>
      </c>
      <c r="E150" s="12" t="inlineStr">
        <is>
          <t>POLITICO</t>
        </is>
      </c>
      <c r="F150" s="12" t="inlineStr">
        <is>
          <t>Sept 2, 2026</t>
        </is>
      </c>
      <c r="G150" s="12" t="inlineStr">
        <is>
          <t>Note sec. 3b</t>
        </is>
      </c>
      <c r="H150" s="12" t="inlineStr">
        <is>
          <t>Transparency of the construction</t>
        </is>
      </c>
      <c r="I150" s="12" t="inlineStr">
        <is>
          <t>n/a</t>
        </is>
      </c>
      <c r="J150" s="12" t="inlineStr">
        <is>
          <t>n/a</t>
        </is>
      </c>
      <c r="K150" s="12" t="inlineStr">
        <is>
          <t>n/a</t>
        </is>
      </c>
      <c r="L150" s="12" t="inlineStr">
        <is>
          <t>not scenario-dependent</t>
        </is>
      </c>
      <c r="M150"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0" s="12" t="inlineStr">
        <is>
          <t>SUPERSEDED — no longer a note claim</t>
        </is>
      </c>
    </row>
    <row r="151" ht="157.5" customHeight="1" s="10">
      <c r="A151" s="12" t="inlineStr">
        <is>
          <t>3. The $681B construction</t>
        </is>
      </c>
      <c r="B151" s="13" t="inlineStr">
        <is>
          <t>SB-20</t>
        </is>
      </c>
      <c r="C151" s="12" t="inlineStr">
        <is>
          <t>A gap between government savings estimates measures provider payments before tax relief, across all provider types, not a net hospital loss</t>
        </is>
      </c>
      <c r="D151" s="12" t="inlineStr">
        <is>
          <t>derived arithmetic - interpretive [I]</t>
        </is>
      </c>
      <c r="E151" s="12" t="inlineStr">
        <is>
          <t>Both RIAs; CBO via CRS</t>
        </is>
      </c>
      <c r="F151" s="12" t="inlineStr">
        <is>
          <t>Note sec. 5 ('POLITICO's CMS inputs mix scopes')</t>
        </is>
      </c>
      <c r="G151" s="12" t="inlineStr">
        <is>
          <t>Note sec. 5</t>
        </is>
      </c>
      <c r="H151" s="12" t="inlineStr">
        <is>
          <t>What a difference of government savings can measure</t>
        </is>
      </c>
      <c r="I151" s="12" t="inlineStr">
        <is>
          <t>mixed</t>
        </is>
      </c>
      <c r="J151" s="12" t="inlineStr">
        <is>
          <t>mixed</t>
        </is>
      </c>
      <c r="K151" s="12" t="inlineStr">
        <is>
          <t>mixed</t>
        </is>
      </c>
      <c r="L151" s="12" t="inlineStr">
        <is>
          <t>primary</t>
        </is>
      </c>
      <c r="M151"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1" s="12" t="inlineStr">
        <is>
          <t>verified</t>
        </is>
      </c>
    </row>
    <row r="152" ht="220.5" customHeight="1" s="10">
      <c r="A152" s="12" t="inlineStr">
        <is>
          <t>3. The $681B construction</t>
        </is>
      </c>
      <c r="B152" s="13" t="inlineStr">
        <is>
          <t>SB-21</t>
        </is>
      </c>
      <c r="C152"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2" s="12" t="inlineStr">
        <is>
          <t>derived arithmetic</t>
        </is>
      </c>
      <c r="E152" s="12" t="inlineStr">
        <is>
          <t>CBO and both RIAs</t>
        </is>
      </c>
      <c r="F152" s="12" t="inlineStr">
        <is>
          <t>Note sec. 3b; footnote 4</t>
        </is>
      </c>
      <c r="G152" s="12" t="inlineStr">
        <is>
          <t>Footnote 4</t>
        </is>
      </c>
      <c r="H152" s="12" t="inlineStr">
        <is>
          <t>Basis incomparability</t>
        </is>
      </c>
      <c r="I152" s="12" t="inlineStr">
        <is>
          <t>federal only vs total computable</t>
        </is>
      </c>
      <c r="J152" s="12" t="inlineStr">
        <is>
          <t>2025–2034 vs 2026–2035</t>
        </is>
      </c>
      <c r="K152" s="12" t="inlineStr">
        <is>
          <t>nominal vs real 2026</t>
        </is>
      </c>
      <c r="L152" s="12" t="inlineStr">
        <is>
          <t>statutory score vs regulatory estimate</t>
        </is>
      </c>
      <c r="M152"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2" s="12" t="inlineStr">
        <is>
          <t>SUPERSEDED — five-axis footnote gone; replaced by SB-26</t>
        </is>
      </c>
    </row>
    <row r="153" ht="126.75" customHeight="1" s="10">
      <c r="A153" s="12" t="inlineStr">
        <is>
          <t>3. The $681B construction</t>
        </is>
      </c>
      <c r="B153" s="13" t="inlineStr">
        <is>
          <t>SB-22</t>
        </is>
      </c>
      <c r="C153" s="12" t="inlineStr">
        <is>
          <t>POLITICO's CMS inputs mix scopes: its $756B is both rules' federal savings measured alone, and its $265B is the SDP rule's state spending reduction alone</t>
        </is>
      </c>
      <c r="D153" s="12" t="inlineStr">
        <is>
          <t>derived arithmetic [I]</t>
        </is>
      </c>
      <c r="E153" s="12" t="inlineStr">
        <is>
          <t>CMS-2449-P Table 19, 20; CMS-2452-P Table 11</t>
        </is>
      </c>
      <c r="F153" s="12" t="inlineStr">
        <is>
          <t>91 FR 30452, 46591–46592; note sec. 5</t>
        </is>
      </c>
      <c r="G153" s="12" t="inlineStr">
        <is>
          <t>Note sec. 5</t>
        </is>
      </c>
      <c r="H153" s="12" t="inlineStr">
        <is>
          <t>Internal inconsistency of scope within one subtraction</t>
        </is>
      </c>
      <c r="I153" s="12" t="inlineStr">
        <is>
          <t>mixed</t>
        </is>
      </c>
      <c r="J153" s="12" t="inlineStr">
        <is>
          <t>FY2026–2035</t>
        </is>
      </c>
      <c r="K153" s="12" t="inlineStr">
        <is>
          <t>real 2026 dollars</t>
        </is>
      </c>
      <c r="L153" s="12" t="inlineStr">
        <is>
          <t>primary</t>
        </is>
      </c>
      <c r="M153"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is>
      </c>
      <c r="N153" s="12" t="inlineStr">
        <is>
          <t>verified</t>
        </is>
      </c>
    </row>
    <row r="154" ht="189" customHeight="1" s="10">
      <c r="A154" s="12" t="inlineStr">
        <is>
          <t>3. The $681B construction</t>
        </is>
      </c>
      <c r="B154" s="13" t="inlineStr">
        <is>
          <t>SB-23</t>
        </is>
      </c>
      <c r="C154"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54" s="12" t="inlineStr">
        <is>
          <t>derived arithmetic</t>
        </is>
      </c>
      <c r="E154" s="12" t="inlineStr">
        <is>
          <t>CMS-2449-P Table 19; CMS-2452-P Table 14; CRS R48633</t>
        </is>
      </c>
      <c r="F154" s="12" t="inlineStr">
        <is>
          <t>R0177, R0757 (and R1013); CRS R48633</t>
        </is>
      </c>
      <c r="G154" s="12" t="inlineStr">
        <is>
          <t>Note sec. 3b</t>
        </is>
      </c>
      <c r="H154" s="12" t="inlineStr">
        <is>
          <t>Federal overlap-adjusted CMS total against CBO's outlay estimate</t>
        </is>
      </c>
      <c r="I154" s="12" t="inlineStr">
        <is>
          <t>federal only</t>
        </is>
      </c>
      <c r="J154" s="12" t="inlineStr">
        <is>
          <t>FY2026–2035 vs FY2025–2034</t>
        </is>
      </c>
      <c r="K154" s="12" t="inlineStr">
        <is>
          <t>real 2026 vs nominal</t>
        </is>
      </c>
      <c r="L154" s="12" t="inlineStr">
        <is>
          <t>primary, overlap-adjusted</t>
        </is>
      </c>
      <c r="M154"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54" s="12" t="inlineStr">
        <is>
          <t>SUPERSEDED — $601.0B vs $340.5B comparison reversed; replaced by SB-27 to SB-30</t>
        </is>
      </c>
    </row>
    <row r="155" ht="137.25" customHeight="1" s="10">
      <c r="A155" s="12" t="inlineStr">
        <is>
          <t>3. The $681B construction</t>
        </is>
      </c>
      <c r="B155" s="13" t="inlineStr">
        <is>
          <t>SB-24</t>
        </is>
      </c>
      <c r="C155" s="12" t="inlineStr">
        <is>
          <t>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D155" s="12" t="inlineStr">
        <is>
          <t>contextual - inference [E]/[I]</t>
        </is>
      </c>
      <c r="E155" s="12" t="inlineStr">
        <is>
          <t>CBO; both RIAs</t>
        </is>
      </c>
      <c r="F155" s="12" t="inlineStr">
        <is>
          <t>CBO, October 28, 2025, pp. 4–5; 91 FR 46590; note App. F ('Draft note, coverage')</t>
        </is>
      </c>
      <c r="G155" s="12" t="inlineStr">
        <is>
          <t>'the number of people without health insurance will increase by 1.1 million in 2034' (CBO, p. 5); 'we estimate that this proposed rule would have no effect on enrollment' (CMS, 91 FR 46590)</t>
        </is>
      </c>
      <c r="H155" s="12" t="inlineStr">
        <is>
          <t>Difference in modelled behavior between the statutory score and the rule estimates</t>
        </is>
      </c>
      <c r="I155" s="12" t="inlineStr">
        <is>
          <t>federal</t>
        </is>
      </c>
      <c r="J155" s="12" t="inlineStr">
        <is>
          <t>FY2025–2034 vs FY2026–2035</t>
        </is>
      </c>
      <c r="K155" s="12" t="inlineStr">
        <is>
          <t>n/a</t>
        </is>
      </c>
      <c r="L155" s="12" t="inlineStr">
        <is>
          <t>not scenario-dependent</t>
        </is>
      </c>
      <c r="M155"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 RE-CHECKED October 14, 2026, third pass, part 2 (verification_v4_log.md): CBO limb matched by script, CBO, October 28, 2025, Supplemental Cost Estimate (user-supplied copy: 48458f96-CBO_61837.pdf), p. 5: Sec. 71115 'the number of people without health insurance will increase by 1.1 million in 2034'; Sec. 71116 'will not affect the number of people without health insurance'.</t>
        </is>
      </c>
      <c r="N155" s="12" t="inlineStr">
        <is>
          <t>verified — F-005 (CMS and CBO limbs)</t>
        </is>
      </c>
    </row>
    <row r="156" ht="157.5" customHeight="1" s="10">
      <c r="A156" s="12" t="inlineStr">
        <is>
          <t>3. The $681B construction</t>
        </is>
      </c>
      <c r="B156" s="13" t="inlineStr">
        <is>
          <t>SB-25</t>
        </is>
      </c>
      <c r="C156" s="12" t="inlineStr">
        <is>
          <t>The figure is attributed to construction, not intent</t>
        </is>
      </c>
      <c r="D156" s="12" t="inlineStr">
        <is>
          <t>contextual - interpretive</t>
        </is>
      </c>
      <c r="E156" s="12" t="inlineStr">
        <is>
          <t>[FIRM]</t>
        </is>
      </c>
      <c r="F156" s="12" t="inlineStr">
        <is>
          <t>Note sec. 3b</t>
        </is>
      </c>
      <c r="G156" s="12" t="inlineStr">
        <is>
          <t>"We attribute all of this to construction, not intent."</t>
        </is>
      </c>
      <c r="H156" s="12" t="inlineStr">
        <is>
          <t>Characterization of how the figure arose</t>
        </is>
      </c>
      <c r="I156" s="12" t="inlineStr">
        <is>
          <t>n/a</t>
        </is>
      </c>
      <c r="J156" s="12" t="inlineStr">
        <is>
          <t>n/a</t>
        </is>
      </c>
      <c r="K156" s="12" t="inlineStr">
        <is>
          <t>n/a</t>
        </is>
      </c>
      <c r="L156" s="12" t="inlineStr">
        <is>
          <t>not scenario-dependent</t>
        </is>
      </c>
      <c r="M156"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56" s="12" t="inlineStr">
        <is>
          <t>SUPERSEDED — 'construction, not intent' no longer stated</t>
        </is>
      </c>
    </row>
    <row r="157" ht="63.75" customHeight="1" s="10">
      <c r="A157" s="12" t="inlineStr">
        <is>
          <t>3. The $681B construction</t>
        </is>
      </c>
      <c r="B157" s="13" t="inlineStr">
        <is>
          <t>SB-26</t>
        </is>
      </c>
      <c r="C157" s="12" t="inlineStr">
        <is>
          <t>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D157" s="12" t="inlineStr">
        <is>
          <t>derived arithmetic - interpretive [I]</t>
        </is>
      </c>
      <c r="E157" s="12" t="inlineStr">
        <is>
          <t>CMS RIAs; CBO</t>
        </is>
      </c>
      <c r="F157" s="12" t="inlineStr">
        <is>
          <t>Note sec. 5 (POLITICO paragraphs 3–4)</t>
        </is>
      </c>
      <c r="G157" s="12" t="inlineStr">
        <is>
          <t>Note sec. 5</t>
        </is>
      </c>
      <c r="H157" s="12" t="inlineStr">
        <is>
          <t>Basis differences between the CMS-derived and CBO figures</t>
        </is>
      </c>
      <c r="I157" s="12" t="inlineStr">
        <is>
          <t>federal</t>
        </is>
      </c>
      <c r="J157" s="12" t="inlineStr">
        <is>
          <t>FY2026–2035 vs FY2025–2034</t>
        </is>
      </c>
      <c r="K157" s="12" t="inlineStr">
        <is>
          <t>real 2026 vs nominal</t>
        </is>
      </c>
      <c r="L157" s="12" t="inlineStr">
        <is>
          <t>central vs statutory score</t>
        </is>
      </c>
      <c r="M157" s="12" t="inlineStr">
        <is>
          <t>Replaces SB-21. Years and dollars are at SB-14 and CE-01; the baseline at CE-43; the year basis at CE-59. v17 does not list enrollment as a cause (SB-24).</t>
        </is>
      </c>
      <c r="N157" s="12" t="inlineStr">
        <is>
          <t>verified as inference</t>
        </is>
      </c>
    </row>
    <row r="158" ht="74.25" customHeight="1" s="10">
      <c r="A158" s="12" t="inlineStr">
        <is>
          <t>3. The $681B construction</t>
        </is>
      </c>
      <c r="B158" s="13" t="inlineStr">
        <is>
          <t>SB-27</t>
        </is>
      </c>
      <c r="C158"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58" s="12" t="inlineStr">
        <is>
          <t>third-party estimate [E]</t>
        </is>
      </c>
      <c r="E158" s="12" t="inlineStr">
        <is>
          <t>CBO</t>
        </is>
      </c>
      <c r="F158" s="12" t="inlineStr">
        <is>
          <t>CBO, October 28, 2025, pp. 4–6; CBO, July 21, 2025, Table 7 (sheet 'Title VII', row 339, cells O341 and O929); note sec. 5, App. F ('Draft note, how CBO handles interactions')</t>
        </is>
      </c>
      <c r="G158" s="12" t="inlineStr">
        <is>
          <t>'accounting for interactions among all of the related policies, will, on net, decrease deficits by $60.1 billion' (p. 6)</t>
        </is>
      </c>
      <c r="H158" s="12" t="inlineStr">
        <is>
          <t>How CBO presents interactions</t>
        </is>
      </c>
      <c r="I158" s="12" t="inlineStr">
        <is>
          <t>federal</t>
        </is>
      </c>
      <c r="J158" s="12" t="inlineStr">
        <is>
          <t>FY2025–2034</t>
        </is>
      </c>
      <c r="K158" s="12" t="inlineStr">
        <is>
          <t>nominal</t>
        </is>
      </c>
      <c r="L158" s="12" t="inlineStr">
        <is>
          <t>not scenario-dependent (enacted law)</t>
        </is>
      </c>
      <c r="M158"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 RE-CHECKED October 14, 2026, third pass, part 2 (verification_v4_log.md): Matched by script. CBO, October 28, 2025, Supplemental Cost Estimate (user-supplied copy: 48458f96-CBO_61837.pdf): Sec. 71115 (pp. 4-5) and Sec. 71116 (p. 5) one at a time; p. 6, 'Other Medicaid-Related Effects and Interactions Among Policies … accounting for interactions among all of the related policies, will, on net, decrease deficits by $60.1 billion'. CBO, July 21, 2025, Table 7 (sheet 'Title VII'; user-supplied copy: 128e9e8c-CBO_61570.xlsx): row 339 'Interactions of Health Policies in Subtitle B', O341 = 95,448 (outlays) and, in the revenue block, row 928, O929 = -3,993; no row for an interaction between Sec. 71115 and Sec. 71116.</t>
        </is>
      </c>
      <c r="N158" s="12" t="inlineStr">
        <is>
          <t>verified — Round 3 item 2</t>
        </is>
      </c>
    </row>
    <row r="159" ht="42.75" customHeight="1" s="10">
      <c r="A159" s="12" t="inlineStr">
        <is>
          <t>3. The $681B construction</t>
        </is>
      </c>
      <c r="B159" s="13" t="inlineStr">
        <is>
          <t>SB-28</t>
        </is>
      </c>
      <c r="C159" s="12" t="inlineStr">
        <is>
          <t>CBO does not say in words that each section figure excludes the interaction between the sections; on THEIA Services' reading of CBO's table layout, CBO's section figures exclude it</t>
        </is>
      </c>
      <c r="D159" s="12" t="inlineStr">
        <is>
          <t>derived arithmetic - interpretive [I]</t>
        </is>
      </c>
      <c r="E159" s="12" t="inlineStr">
        <is>
          <t>CBO; [FIRM]</t>
        </is>
      </c>
      <c r="F159" s="12" t="inlineStr">
        <is>
          <t>Note sec. 5 (fourth POLITICO paragraph); App. F</t>
        </is>
      </c>
      <c r="G159" s="12" t="inlineStr">
        <is>
          <t>Note sec. 5; App. F</t>
        </is>
      </c>
      <c r="H159" s="12" t="inlineStr">
        <is>
          <t>Whether CBO's section figures include the interaction</t>
        </is>
      </c>
      <c r="I159" s="12" t="inlineStr">
        <is>
          <t>federal</t>
        </is>
      </c>
      <c r="J159" s="12" t="inlineStr">
        <is>
          <t>FY2025–2034</t>
        </is>
      </c>
      <c r="K159" s="12" t="inlineStr">
        <is>
          <t>nominal</t>
        </is>
      </c>
      <c r="L159" s="12" t="inlineStr">
        <is>
          <t>not scenario-dependent (enacted law)</t>
        </is>
      </c>
      <c r="M159" s="12" t="inlineStr">
        <is>
          <t>Round 3 item 2: 'exclude' rests on how the table is laid out, because CBO does not say in words that each section is scored alone. The $191.1B + $149.4B sum is therefore the two sections each scored alone.</t>
        </is>
      </c>
      <c r="N159" s="12" t="inlineStr">
        <is>
          <t>verified with caveat — the reading rests on CBO's layout, not on a statement</t>
        </is>
      </c>
    </row>
    <row r="160" ht="63.75" customHeight="1" s="10">
      <c r="A160" s="12" t="inlineStr">
        <is>
          <t>3. The $681B construction</t>
        </is>
      </c>
      <c r="B160" s="13" t="inlineStr">
        <is>
          <t>SB-29</t>
        </is>
      </c>
      <c r="C160" s="12" t="inlineStr">
        <is>
          <t>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D160" s="12" t="inlineStr">
        <is>
          <t>derived arithmetic [I]</t>
        </is>
      </c>
      <c r="E160" s="12" t="inlineStr">
        <is>
          <t>CMS-2449-P Table 19; CMS-2452-P Table 11; CBO</t>
        </is>
      </c>
      <c r="F160" s="12" t="inlineStr">
        <is>
          <t>91 FR 30451–30452; 91 FR 46591; note sec. 5 (fifth paragraph), App. F ('the federal reconciliation on CMS's tables')</t>
        </is>
      </c>
      <c r="G160" s="12" t="inlineStr">
        <is>
          <t>Note App. F</t>
        </is>
      </c>
      <c r="H160" s="12" t="inlineStr">
        <is>
          <t>The CMS federal total on CBO's no-interaction basis</t>
        </is>
      </c>
      <c r="I160" s="12" t="inlineStr">
        <is>
          <t>federal only</t>
        </is>
      </c>
      <c r="J160" s="12" t="inlineStr">
        <is>
          <t>2026–2035; 2026–2034</t>
        </is>
      </c>
      <c r="K160" s="12" t="inlineStr">
        <is>
          <t>real 2026 dollars</t>
        </is>
      </c>
      <c r="L160" s="12" t="inlineStr">
        <is>
          <t>central, excluding interaction</t>
        </is>
      </c>
      <c r="M160" s="12" t="inlineStr">
        <is>
          <t>Internal: 510.1 + 245.8 = 755.9; 755.9 − 80.6 − 44.4 = 630.9. Verification summary (F-015 table) reproduces both. Table 11's annual federal row sums to $245.9B against the stated $245.8B (CE-73). CMS gives no dollar conversion.</t>
        </is>
      </c>
      <c r="N160" s="12" t="inlineStr">
        <is>
          <t>verified as derived</t>
        </is>
      </c>
    </row>
    <row r="161" ht="63.75" customHeight="1" s="10">
      <c r="A161" s="12" t="inlineStr">
        <is>
          <t>3. The $681B construction</t>
        </is>
      </c>
      <c r="B161" s="13" t="inlineStr">
        <is>
          <t>SB-30</t>
        </is>
      </c>
      <c r="C161" s="12" t="inlineStr">
        <is>
          <t>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is>
      </c>
      <c r="D161" s="12" t="inlineStr">
        <is>
          <t>derived arithmetic [I]</t>
        </is>
      </c>
      <c r="E161" s="12" t="inlineStr">
        <is>
          <t>CMS-2449-P Table 19; CMS-2452-P Table 14; CBO</t>
        </is>
      </c>
      <c r="F161" s="12" t="inlineStr">
        <is>
          <t>91 FR 30451–30452; 91 FR 46593; note sec. 5 (fifth paragraph), App. F</t>
        </is>
      </c>
      <c r="G161" s="12" t="inlineStr">
        <is>
          <t>Note sec. 5; App. F</t>
        </is>
      </c>
      <c r="H161" s="12" t="inlineStr">
        <is>
          <t>The with-interaction CMS federal total and the direction of each adjustment</t>
        </is>
      </c>
      <c r="I161" s="12" t="inlineStr">
        <is>
          <t>federal only</t>
        </is>
      </c>
      <c r="J161" s="12" t="inlineStr">
        <is>
          <t>2026–2035; 2026–2034</t>
        </is>
      </c>
      <c r="K161" s="12" t="inlineStr">
        <is>
          <t>real 2026 dollars</t>
        </is>
      </c>
      <c r="L161" s="12" t="inlineStr">
        <is>
          <t>central, overlap-adjusted</t>
        </is>
      </c>
      <c r="M161" s="12" t="inlineStr">
        <is>
          <t>Internal: 510.1 + 90.9 = 601.0; 601.0 − 80.6 − 18.9 = 501.5; confirmed on CMS's tables (verification summary, F-015, 'Corrected'). The dollar-basis adjustment is known in direction only. Replaces the $601.0B v. $340.5B comparison at SB-23 (superseded). CBPP draws the same conclusion (SB-31).</t>
        </is>
      </c>
      <c r="N161" s="12" t="inlineStr">
        <is>
          <t>verified as derived — direction only for the dollar-basis adjustment</t>
        </is>
      </c>
    </row>
    <row r="162" ht="74.25" customHeight="1" s="10">
      <c r="A162" s="12" t="inlineStr">
        <is>
          <t>3. The $681B construction</t>
        </is>
      </c>
      <c r="B162" s="13" t="inlineStr">
        <is>
          <t>SB-31</t>
        </is>
      </c>
      <c r="C162"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2" s="12" t="inlineStr">
        <is>
          <t>third-party position [E]</t>
        </is>
      </c>
      <c r="E162" s="12" t="inlineStr">
        <is>
          <t>CBPP, comment CMS-2026-2476-0033</t>
        </is>
      </c>
      <c r="F162" s="12" t="inlineStr">
        <is>
          <t>Comment CMS-2026-2476-0033, p. 9, footnote 23; note App. F ('Draft note, CBPP's comparison')</t>
        </is>
      </c>
      <c r="G162" s="12" t="inlineStr">
        <is>
          <t>Note App. F</t>
        </is>
      </c>
      <c r="H162" s="12" t="inlineStr">
        <is>
          <t>A commenter's reconciliation of CMS and CBO</t>
        </is>
      </c>
      <c r="I162" s="12" t="inlineStr">
        <is>
          <t>federal</t>
        </is>
      </c>
      <c r="J162" s="12" t="inlineStr">
        <is>
          <t>FY2026–2035 vs FY2025–2034</t>
        </is>
      </c>
      <c r="K162" s="12" t="inlineStr">
        <is>
          <t>real 2026 vs nominal</t>
        </is>
      </c>
      <c r="L162" s="12" t="inlineStr">
        <is>
          <t>central, overlap-adjusted</t>
        </is>
      </c>
      <c r="M162"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2" s="12" t="inlineStr">
        <is>
          <t>verified — verification summary (F-015): footnote 23, p. 9 of 13 confirmed</t>
        </is>
      </c>
    </row>
    <row r="163" ht="84.75" customHeight="1" s="10">
      <c r="A163" s="12" t="inlineStr">
        <is>
          <t>3. The $681B construction</t>
        </is>
      </c>
      <c r="B163" s="13" t="inlineStr">
        <is>
          <t>SB-32</t>
        </is>
      </c>
      <c r="C163" s="12" t="inlineStr">
        <is>
          <t>Commenters cite CBO's Section 71115 estimate on both measures, $191.1B in outlays and about $183B, under different labels, and one state agency gives the two as a range; the $183B matches CBO's $182.7B deficit figure</t>
        </is>
      </c>
      <c r="D163" s="12" t="inlineStr">
        <is>
          <t>third-party position [E]/[I]</t>
        </is>
      </c>
      <c r="E163" s="12" t="inlineStr">
        <is>
          <t>Comments on CMS-2452-P</t>
        </is>
      </c>
      <c r="F163" s="12" t="inlineStr">
        <is>
          <t>Comments CMS-2026-2476-0201 p. 1; -0029 p. 1; -0097, -0187 and -0195 (one campaign); -0126; -0089; note App. F ('Draft note, how commenters cite CBO')</t>
        </is>
      </c>
      <c r="G163" s="12" t="inlineStr">
        <is>
          <t>Note App. F</t>
        </is>
      </c>
      <c r="H163" s="12" t="inlineStr">
        <is>
          <t>How commenters label CBO's two measures</t>
        </is>
      </c>
      <c r="I163" s="12" t="inlineStr">
        <is>
          <t>provider tax rule docket</t>
        </is>
      </c>
      <c r="J163" s="12" t="inlineStr">
        <is>
          <t>snapshot October 7, 2026</t>
        </is>
      </c>
      <c r="K163" s="12" t="inlineStr">
        <is>
          <t>nominal</t>
        </is>
      </c>
      <c r="L163" s="12" t="inlineStr">
        <is>
          <t>not scenario-dependent</t>
        </is>
      </c>
      <c r="M163"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3" s="12" t="inlineStr">
        <is>
          <t>verified — upgraded from single-source: re-checked October 13, 2026: each cited comment gives CBO's Section 71115 figure as stated ($191.1 billion or $183 billion, under different labels; -0201 as a range); the $183B/$182.7B match is [I] arithmetic (SB-09).</t>
        </is>
      </c>
    </row>
    <row r="164" ht="84.75" customHeight="1" s="10">
      <c r="A164" s="12" t="inlineStr">
        <is>
          <t>3. The $681B construction</t>
        </is>
      </c>
      <c r="B164" s="13" t="inlineStr">
        <is>
          <t>SB-33</t>
        </is>
      </c>
      <c r="C164" s="12" t="inlineStr">
        <is>
          <t>In the SDP rule's docket, about 120 comments (about 90 distinct texts) cite CMS's $510B and about 90 (about 60 distinct texts) cite CBO's $149.4B, often side by side, in both docket views (keyword counts; for example, comments CMS-2026-1916-0902, -0128 and -0756)</t>
        </is>
      </c>
      <c r="D164" s="12" t="inlineStr">
        <is>
          <t>third-party position [E]</t>
        </is>
      </c>
      <c r="E164" s="12" t="inlineStr">
        <is>
          <t>Comments on CMS-2449-P</t>
        </is>
      </c>
      <c r="F164" s="12" t="inlineStr">
        <is>
          <t>Comments CMS-2026-1916-0902, -0128, -0756; note App. F</t>
        </is>
      </c>
      <c r="G164" s="12" t="inlineStr">
        <is>
          <t>Note App. F</t>
        </is>
      </c>
      <c r="H164" s="12" t="inlineStr">
        <is>
          <t>Keyword counts of comments citing the two figures</t>
        </is>
      </c>
      <c r="I164" s="12" t="inlineStr">
        <is>
          <t>SDP rule docket</t>
        </is>
      </c>
      <c r="J164" s="12" t="inlineStr">
        <is>
          <t>snapshot October 7, 2026</t>
        </is>
      </c>
      <c r="K164" s="12" t="inlineStr">
        <is>
          <t>nominal / real 2026</t>
        </is>
      </c>
      <c r="L164" s="12" t="inlineStr">
        <is>
          <t>not scenario-dependent</t>
        </is>
      </c>
      <c r="M164"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t>
        </is>
      </c>
      <c r="N164"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65" ht="95.25" customHeight="1" s="10">
      <c r="A165" s="12" t="inlineStr">
        <is>
          <t>4. Third-party figures</t>
        </is>
      </c>
      <c r="B165" s="13" t="inlineStr">
        <is>
          <t>TP-01</t>
        </is>
      </c>
      <c r="C165" s="12" t="inlineStr">
        <is>
          <t>HFMA's July 22, 2026 article reported that provider payments would fall $220.3B over 10 years and that providers would save $163.7B in taxes, 'leaving a net decrease of $56.6 billion'</t>
        </is>
      </c>
      <c r="D165" s="12" t="inlineStr">
        <is>
          <t>third-party estimate [E]</t>
        </is>
      </c>
      <c r="E165" s="12" t="inlineStr">
        <is>
          <t>HFMA</t>
        </is>
      </c>
      <c r="F165" s="12" t="inlineStr">
        <is>
          <t>"Medicaid provider tax proposed rule could cut payments by $220 billion over 10 years," July 22, 2026; note sec. 5 (HFMA's $56.6 billion)</t>
        </is>
      </c>
      <c r="G165"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65" s="12" t="inlineStr">
        <is>
          <t>Provider payment change and a derived net figure</t>
        </is>
      </c>
      <c r="I165" s="12" t="inlineStr">
        <is>
          <t>provider aggregate</t>
        </is>
      </c>
      <c r="J165" s="12" t="inlineStr">
        <is>
          <t>2026–2035</t>
        </is>
      </c>
      <c r="K165" s="12" t="inlineStr">
        <is>
          <t>unstated</t>
        </is>
      </c>
      <c r="L165" s="12" t="inlineStr">
        <is>
          <t>not stated</t>
        </is>
      </c>
      <c r="M165"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65" s="12" t="inlineStr">
        <is>
          <t>verified — re-checked October 13, 2026, second pass: HFMA matches ($220.3 billion lower payments; $163.7 billion in taxes saved; 'leaving a net decrease of $56.6 billion'); the ledger's longer quotation predates HFMA's July 23 update.</t>
        </is>
      </c>
    </row>
    <row r="166" ht="126.75" customHeight="1" s="10">
      <c r="A166" s="12" t="inlineStr">
        <is>
          <t>4. Third-party figures</t>
        </is>
      </c>
      <c r="B166" s="13" t="inlineStr">
        <is>
          <t>TP-02</t>
        </is>
      </c>
      <c r="C166" s="12" t="inlineStr">
        <is>
          <t>HFMA cites no CMS table for the three figures</t>
        </is>
      </c>
      <c r="D166" s="12" t="inlineStr">
        <is>
          <t>negative claim</t>
        </is>
      </c>
      <c r="E166" s="12" t="inlineStr">
        <is>
          <t>HFMA article</t>
        </is>
      </c>
      <c r="F166" s="12" t="inlineStr">
        <is>
          <t>Full-text review of the article</t>
        </is>
      </c>
      <c r="G166" s="12" t="inlineStr">
        <is>
          <t>Absence</t>
        </is>
      </c>
      <c r="H166" s="12" t="inlineStr">
        <is>
          <t>Absence of a table citation</t>
        </is>
      </c>
      <c r="I166" s="12" t="inlineStr">
        <is>
          <t>n/a</t>
        </is>
      </c>
      <c r="J166" s="12" t="inlineStr">
        <is>
          <t>n/a</t>
        </is>
      </c>
      <c r="K166" s="12" t="inlineStr">
        <is>
          <t>n/a</t>
        </is>
      </c>
      <c r="L166" s="12" t="inlineStr">
        <is>
          <t>not scenario-dependent</t>
        </is>
      </c>
      <c r="M166"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66" s="12" t="inlineStr">
        <is>
          <t>SUPERSEDED — no longer a note claim</t>
        </is>
      </c>
    </row>
    <row r="167" ht="126.75" customHeight="1" s="10">
      <c r="A167" s="12" t="inlineStr">
        <is>
          <t>4. Third-party figures</t>
        </is>
      </c>
      <c r="B167" s="13" t="inlineStr">
        <is>
          <t>TP-03</t>
        </is>
      </c>
      <c r="C167" s="12" t="inlineStr">
        <is>
          <t>HFMA presents the $56.6B in its own voice, without attributing it to CMS</t>
        </is>
      </c>
      <c r="D167" s="12" t="inlineStr">
        <is>
          <t>third-party estimate</t>
        </is>
      </c>
      <c r="E167" s="12" t="inlineStr">
        <is>
          <t>HFMA article</t>
        </is>
      </c>
      <c r="F167" s="12" t="inlineStr">
        <is>
          <t>Same passage</t>
        </is>
      </c>
      <c r="G167" s="12" t="inlineStr">
        <is>
          <t>No attribution language attached</t>
        </is>
      </c>
      <c r="H167" s="12" t="inlineStr">
        <is>
          <t>Authorship of the net figure</t>
        </is>
      </c>
      <c r="I167" s="12" t="inlineStr">
        <is>
          <t>n/a</t>
        </is>
      </c>
      <c r="J167" s="12" t="inlineStr">
        <is>
          <t>2026–2035</t>
        </is>
      </c>
      <c r="K167" s="12" t="inlineStr">
        <is>
          <t>unstated</t>
        </is>
      </c>
      <c r="L167" s="12" t="inlineStr">
        <is>
          <t>not stated</t>
        </is>
      </c>
      <c r="M167"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67" s="12" t="inlineStr">
        <is>
          <t>SUPERSEDED — 'own voice' no longer stated</t>
        </is>
      </c>
    </row>
    <row r="168" ht="53.25" customHeight="1" s="10">
      <c r="A168" s="12" t="inlineStr">
        <is>
          <t>4. Third-party figures</t>
        </is>
      </c>
      <c r="B168" s="13" t="inlineStr">
        <is>
          <t>TP-04</t>
        </is>
      </c>
      <c r="C168" s="12" t="inlineStr">
        <is>
          <t>HFMA's July 22, 2026 article describes the same no-OBBBA comparison point as CMS: 'compared with a scenario in which there is no OBBBA and no proposed rule'</t>
        </is>
      </c>
      <c r="D168" s="12" t="inlineStr">
        <is>
          <t>third-party estimate [E]</t>
        </is>
      </c>
      <c r="E168" s="12" t="inlineStr">
        <is>
          <t>HFMA article</t>
        </is>
      </c>
      <c r="F168" s="12" t="inlineStr">
        <is>
          <t>Same passage; note sec. 5 (HFMA's $56.6 billion)</t>
        </is>
      </c>
      <c r="G168" s="12" t="inlineStr">
        <is>
          <t>"compared with a scenario in which there is no OBBBA and no proposed rule"</t>
        </is>
      </c>
      <c r="H168" s="12" t="inlineStr">
        <is>
          <t>Counterfactual against which the figure is measured</t>
        </is>
      </c>
      <c r="I168" s="12" t="inlineStr">
        <is>
          <t>provider aggregate</t>
        </is>
      </c>
      <c r="J168" s="12" t="inlineStr">
        <is>
          <t>2026–2035</t>
        </is>
      </c>
      <c r="K168" s="12" t="inlineStr">
        <is>
          <t>unstated</t>
        </is>
      </c>
      <c r="L168" s="12" t="inlineStr">
        <is>
          <t>not stated</t>
        </is>
      </c>
      <c r="M168" s="12" t="inlineStr">
        <is>
          <t>C3 output finding (b) confirms verbatim; P4 independently confirms UPDATED October 11, 2026: claim reworded to the note's current text (v17). Previous wording: 'HFMA's stated baseline is a scenario with no OBBBA and no proposed rule'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68" s="12" t="inlineStr">
        <is>
          <t>verified — re-checked October 13, 2026, second pass: HFMA matches ('compared with a scenario in which there is no OBBBA and no proposed rule').</t>
        </is>
      </c>
    </row>
    <row r="169" ht="137.25" customHeight="1" s="10">
      <c r="A169" s="12" t="inlineStr">
        <is>
          <t>4. Third-party figures</t>
        </is>
      </c>
      <c r="B169" s="13" t="inlineStr">
        <is>
          <t>TP-05</t>
        </is>
      </c>
      <c r="C169" s="12" t="inlineStr">
        <is>
          <t>Table 12 measures the rule's incremental effect against a baseline in which the 2025 reconciliation law is already in place, not the no-OBBBA counterfactual HFMA describes</t>
        </is>
      </c>
      <c r="D169" s="12" t="inlineStr">
        <is>
          <t>derived arithmetic</t>
        </is>
      </c>
      <c r="E169" s="12" t="inlineStr">
        <is>
          <t>CMS-2452-P Table 12</t>
        </is>
      </c>
      <c r="F169" s="12" t="inlineStr">
        <is>
          <t>Table 12, 91 FR 46592</t>
        </is>
      </c>
      <c r="G169" s="12" t="inlineStr">
        <is>
          <t>Note sec. 3a</t>
        </is>
      </c>
      <c r="H169" s="12" t="inlineStr">
        <is>
          <t>Baseline mismatch between a matching numeral and its stated construction</t>
        </is>
      </c>
      <c r="I169" s="12" t="inlineStr">
        <is>
          <t>provider aggregate</t>
        </is>
      </c>
      <c r="J169" s="12" t="inlineStr">
        <is>
          <t>FY2026–2035</t>
        </is>
      </c>
      <c r="K169" s="12" t="inlineStr">
        <is>
          <t>real 2026 dollars</t>
        </is>
      </c>
      <c r="L169" s="12" t="inlineStr">
        <is>
          <t>primary, excluding interaction</t>
        </is>
      </c>
      <c r="M169"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69" s="12" t="inlineStr">
        <is>
          <t>SUPERSEDED — baseline claim reversed; D-9 resolved in HFMA's favour; replaced by TP-23</t>
        </is>
      </c>
    </row>
    <row r="170" ht="105.75" customHeight="1" s="10">
      <c r="A170" s="12" t="inlineStr">
        <is>
          <t>4. Third-party figures</t>
        </is>
      </c>
      <c r="B170" s="13" t="inlineStr">
        <is>
          <t>TP-06</t>
        </is>
      </c>
      <c r="C170" s="12" t="inlineStr">
        <is>
          <t>The $56.6B subtracts provider tax relief from a line that already incorporates it</t>
        </is>
      </c>
      <c r="D170" s="12" t="inlineStr">
        <is>
          <t>derived arithmetic</t>
        </is>
      </c>
      <c r="E170" s="12" t="inlineStr">
        <is>
          <t>CMS-2452-P Tables 8 and 12; HFMA</t>
        </is>
      </c>
      <c r="F170" s="12" t="inlineStr">
        <is>
          <t>91 FR 46590, 46592</t>
        </is>
      </c>
      <c r="G170" s="12" t="inlineStr">
        <is>
          <t>Note sec. 3a</t>
        </is>
      </c>
      <c r="H170" s="12" t="inlineStr">
        <is>
          <t>Diagnosis of a double subtraction</t>
        </is>
      </c>
      <c r="I170" s="12" t="inlineStr">
        <is>
          <t>provider aggregate</t>
        </is>
      </c>
      <c r="J170" s="12" t="inlineStr">
        <is>
          <t>2026–2035</t>
        </is>
      </c>
      <c r="K170" s="12" t="inlineStr">
        <is>
          <t>mixed</t>
        </is>
      </c>
      <c r="L170" s="12" t="inlineStr">
        <is>
          <t>primary</t>
        </is>
      </c>
      <c r="M170"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0" s="12" t="inlineStr">
        <is>
          <t>SUPERSEDED — restated as a reading; replaced by TP-24</t>
        </is>
      </c>
    </row>
    <row r="171" ht="157.5" customHeight="1" s="10">
      <c r="A171" s="12" t="inlineStr">
        <is>
          <t>4. Third-party figures</t>
        </is>
      </c>
      <c r="B171" s="13" t="inlineStr">
        <is>
          <t>TP-07</t>
        </is>
      </c>
      <c r="C171" s="12" t="inlineStr">
        <is>
          <t>THEIA Services found the $56.6B in neither rule</t>
        </is>
      </c>
      <c r="D171" s="12" t="inlineStr">
        <is>
          <t>negative claim [I]</t>
        </is>
      </c>
      <c r="E171" s="12" t="inlineStr">
        <is>
          <t>Both RIAs; reconciliation worksheet</t>
        </is>
      </c>
      <c r="F171" s="12" t="inlineStr">
        <is>
          <t>Both RIAs; reconciliation worksheet; note sec. 5</t>
        </is>
      </c>
      <c r="G171" s="12" t="inlineStr">
        <is>
          <t>Absence</t>
        </is>
      </c>
      <c r="H171" s="12" t="inlineStr">
        <is>
          <t>Absence of the figure from the primary record</t>
        </is>
      </c>
      <c r="I171" s="12" t="inlineStr">
        <is>
          <t>n/a</t>
        </is>
      </c>
      <c r="J171" s="12" t="inlineStr">
        <is>
          <t>n/a</t>
        </is>
      </c>
      <c r="K171" s="12" t="inlineStr">
        <is>
          <t>n/a</t>
        </is>
      </c>
      <c r="L171" s="12" t="inlineStr">
        <is>
          <t>not scenario-dependent</t>
        </is>
      </c>
      <c r="M171"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1" s="12" t="inlineStr">
        <is>
          <t>verified - re-checked against the worksheet</t>
        </is>
      </c>
    </row>
    <row r="172" ht="63.75" customHeight="1" s="10">
      <c r="A172" s="12" t="inlineStr">
        <is>
          <t>4. Third-party figures</t>
        </is>
      </c>
      <c r="B172" s="13" t="inlineStr">
        <is>
          <t>TP-08</t>
        </is>
      </c>
      <c r="C172" s="12" t="inlineStr">
        <is>
          <t>Georgetown University's Center for Children and Families reported the same $220.3B on July 27, 2026 as already net of providers' lower taxes</t>
        </is>
      </c>
      <c r="D172" s="12" t="inlineStr">
        <is>
          <t>third-party estimate [E]</t>
        </is>
      </c>
      <c r="E172" s="12" t="inlineStr">
        <is>
          <t>Georgetown CCF</t>
        </is>
      </c>
      <c r="F172" s="12" t="inlineStr">
        <is>
          <t>"CMS Issues New Rule Again Going Beyond H.R. 1 Requirements to Further Restrict State Use of Medicaid Provider Taxes," July 27, 2026; note sec. 5 (HFMA's $56.6 billion)</t>
        </is>
      </c>
      <c r="G172" s="12" t="inlineStr">
        <is>
          <t>"health care providers would see their Medicaid payments fall by $220.3 billion over ten years (after taking into account the reduction in the taxes paid by providers"</t>
        </is>
      </c>
      <c r="H172" s="12" t="inlineStr">
        <is>
          <t>Independent identification of the provider line as a net figure</t>
        </is>
      </c>
      <c r="I172" s="12" t="inlineStr">
        <is>
          <t>provider aggregate</t>
        </is>
      </c>
      <c r="J172" s="12" t="inlineStr">
        <is>
          <t>ten years</t>
        </is>
      </c>
      <c r="K172" s="12" t="inlineStr">
        <is>
          <t>unstated</t>
        </is>
      </c>
      <c r="L172" s="12" t="inlineStr">
        <is>
          <t>not stated</t>
        </is>
      </c>
      <c r="M172"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 VERIFIED October 13, 2026, second pass (verification_v4_log.md): Georgetown CCF, 'CMS Issues New Rule Again Going Beyond H.R. 1 Requirements to Further Restrict State Use of Medicaid Provider Taxes' (https://ccf.georgetown.edu/2026/07/27/cms-issues-new-rule-again-going-beyond-h-r-1-requirements-to-further-restrict-state-use-of-medicaid-provider-taxes/), matched by script.</t>
        </is>
      </c>
      <c r="N172" s="12" t="inlineStr">
        <is>
          <t>verified — re-checked October 13, 2026, second pass: Georgetown CCF's July 27, 2026 post matches.</t>
        </is>
      </c>
    </row>
    <row r="173" ht="126.75" customHeight="1" s="10">
      <c r="A173" s="12" t="inlineStr">
        <is>
          <t>4. Third-party figures</t>
        </is>
      </c>
      <c r="B173" s="13" t="inlineStr">
        <is>
          <t>TP-09</t>
        </is>
      </c>
      <c r="C173" s="12" t="inlineStr">
        <is>
          <t>Georgetown attributes to CMS a $245.8B federal reduction and a $198.7B fall in state provider tax revenue</t>
        </is>
      </c>
      <c r="D173" s="12" t="inlineStr">
        <is>
          <t>third-party estimate</t>
        </is>
      </c>
      <c r="E173" s="12" t="inlineStr">
        <is>
          <t>Georgetown CCF, July 27, 2026</t>
        </is>
      </c>
      <c r="F173" s="12" t="inlineStr">
        <is>
          <t>Same post</t>
        </is>
      </c>
      <c r="G173" s="12" t="inlineStr">
        <is>
          <t>As quoted in C3</t>
        </is>
      </c>
      <c r="H173" s="12" t="inlineStr">
        <is>
          <t>Federal outlay reduction; state tax revenue reduction</t>
        </is>
      </c>
      <c r="I173" s="12" t="inlineStr">
        <is>
          <t>federal only; state only</t>
        </is>
      </c>
      <c r="J173" s="12" t="inlineStr">
        <is>
          <t>ten years</t>
        </is>
      </c>
      <c r="K173" s="12" t="inlineStr">
        <is>
          <t>unstated</t>
        </is>
      </c>
      <c r="L173" s="12" t="inlineStr">
        <is>
          <t>primary</t>
        </is>
      </c>
      <c r="M173"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73" s="12" t="inlineStr">
        <is>
          <t>SUPERSEDED — Georgetown's $245.8B and $198.7B no longer cited</t>
        </is>
      </c>
    </row>
    <row r="174" ht="126.75" customHeight="1" s="10">
      <c r="A174" s="12" t="inlineStr">
        <is>
          <t>4. Third-party figures</t>
        </is>
      </c>
      <c r="B174" s="13" t="inlineStr">
        <is>
          <t>TP-10</t>
        </is>
      </c>
      <c r="C174"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74" s="12" t="inlineStr">
        <is>
          <t>third-party estimate (federal agency) [E]</t>
        </is>
      </c>
      <c r="E174" s="12" t="inlineStr">
        <is>
          <t>ASPE</t>
        </is>
      </c>
      <c r="F174" s="12" t="inlineStr">
        <is>
          <t>"Effects of the Working Families Tax Cut Legislation on Health Care Costs," Aug 12, 2026, p. 11; note sec. 5 (ASPE's $891 billion)</t>
        </is>
      </c>
      <c r="G174" s="12" t="inlineStr">
        <is>
          <t>"We then scale this estimate in the same way as the prior two estimates to get the total (federal and state) savings estimate of $891 billion from 2025-2034. This yields a total benefit estimate of $875 billion from 2025-2034."</t>
        </is>
      </c>
      <c r="H174" s="12" t="inlineStr">
        <is>
          <t>Total Medicaid spending reduction, sensitivity estimate</t>
        </is>
      </c>
      <c r="I174" s="12" t="inlineStr">
        <is>
          <t>total computable</t>
        </is>
      </c>
      <c r="J174" s="12" t="inlineStr">
        <is>
          <t>2025–2034</t>
        </is>
      </c>
      <c r="K174" s="12" t="inlineStr">
        <is>
          <t>unstated</t>
        </is>
      </c>
      <c r="L174" s="12" t="inlineStr">
        <is>
          <t>sensitivity / alternative</t>
        </is>
      </c>
      <c r="M174"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4" s="12" t="inlineStr">
        <is>
          <t>verified — re-checked October 13, 2026, second pass: ASPE matches ($891 billion total federal and state savings, 2025-2034, used to estimate benefits).</t>
        </is>
      </c>
    </row>
    <row r="175" ht="116.25" customHeight="1" s="10">
      <c r="A175" s="12" t="inlineStr">
        <is>
          <t>4. Third-party figures</t>
        </is>
      </c>
      <c r="B175" s="13" t="inlineStr">
        <is>
          <t>TP-11</t>
        </is>
      </c>
      <c r="C175" s="12" t="inlineStr">
        <is>
          <t>ASPE does not say whether its $891B removes the overlap between the two provisions</t>
        </is>
      </c>
      <c r="D175" s="12" t="inlineStr">
        <is>
          <t>negative claim + third-party estimate [I]</t>
        </is>
      </c>
      <c r="E175" s="12" t="inlineStr">
        <is>
          <t>ASPE report</t>
        </is>
      </c>
      <c r="F175" s="12" t="inlineStr">
        <is>
          <t>p. 11 narrative; note sec. 5 (ASPE's $891 billion)</t>
        </is>
      </c>
      <c r="G175" s="12" t="inlineStr">
        <is>
          <t>"federal savings estimate for combined effect of the provider tax and SDP provisions is about the size of the SDP effect alone ($510 billion) estimated by OACT"</t>
        </is>
      </c>
      <c r="H175" s="12" t="inlineStr">
        <is>
          <t>Absence of an overlap adjustment, implying substantial unadjusted overlap</t>
        </is>
      </c>
      <c r="I175" s="12" t="inlineStr">
        <is>
          <t>total computable</t>
        </is>
      </c>
      <c r="J175" s="12" t="inlineStr">
        <is>
          <t>2025–2034</t>
        </is>
      </c>
      <c r="K175" s="12" t="inlineStr">
        <is>
          <t>unstated</t>
        </is>
      </c>
      <c r="L175" s="12" t="inlineStr">
        <is>
          <t>sensitivity</t>
        </is>
      </c>
      <c r="M175"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 A full-text search of the page finds no 'overlap', 'interaction' or 'double'; the negative is therefore confirmed by search.</t>
        </is>
      </c>
      <c r="N175" s="12" t="inlineStr">
        <is>
          <t>verified — re-checked October 13, 2026, second pass: ASPE matches (federal estimate 'about the size of the SDP effect alone ($510 billion)'; no mention of overlap or interaction anywhere in the report).</t>
        </is>
      </c>
    </row>
    <row r="176" ht="63.75" customHeight="1" s="10">
      <c r="A176" s="12" t="inlineStr">
        <is>
          <t>4. Third-party figures</t>
        </is>
      </c>
      <c r="B176" s="13" t="inlineStr">
        <is>
          <t>TP-12</t>
        </is>
      </c>
      <c r="C176" s="12" t="inlineStr">
        <is>
          <t>ASPE estimates up to a 3.5% reduction in non-Medicaid prices and a $502–875B benefit to non-Medicaid payers</t>
        </is>
      </c>
      <c r="D176" s="12" t="inlineStr">
        <is>
          <t>third-party estimate</t>
        </is>
      </c>
      <c r="E176" s="12" t="inlineStr">
        <is>
          <t>ASPE report</t>
        </is>
      </c>
      <c r="F176" s="12" t="inlineStr">
        <is>
          <t>Key Points; Findings, pp. 10–11; note sec. 5 (ASPE's $891 billion)</t>
        </is>
      </c>
      <c r="G176" s="12" t="inlineStr">
        <is>
          <t>Key Points and Findings</t>
        </is>
      </c>
      <c r="H176" s="12" t="inlineStr">
        <is>
          <t>Price reduction and benefit to non-Medicaid payers</t>
        </is>
      </c>
      <c r="I176" s="12" t="inlineStr">
        <is>
          <t>non-Medicaid payers</t>
        </is>
      </c>
      <c r="J176" s="12" t="inlineStr">
        <is>
          <t>2025–2034</t>
        </is>
      </c>
      <c r="K176" s="12" t="inlineStr">
        <is>
          <t>unstated</t>
        </is>
      </c>
      <c r="L176" s="12" t="inlineStr">
        <is>
          <t>range across estimates</t>
        </is>
      </c>
      <c r="M176"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6" s="12" t="inlineStr">
        <is>
          <t>verified — re-checked October 13, 2026, second pass: ASPE Key Points match (up to 3.5 percent lower non-Medicaid prices; $502-$875 billion to non-Medicaid payers, 2025-2034).</t>
        </is>
      </c>
    </row>
    <row r="177" ht="95.25" customHeight="1" s="10">
      <c r="A177" s="12" t="inlineStr">
        <is>
          <t>4. Third-party figures</t>
        </is>
      </c>
      <c r="B177" s="13" t="inlineStr">
        <is>
          <t>TP-13</t>
        </is>
      </c>
      <c r="C177" s="12" t="inlineStr">
        <is>
          <t>ASPE scored the OBBBA's provisions directly rather than as CMS's proposed rules would implement them, over different years</t>
        </is>
      </c>
      <c r="D177" s="12" t="inlineStr">
        <is>
          <t>contextual [I]</t>
        </is>
      </c>
      <c r="E177" s="12" t="inlineStr">
        <is>
          <t>ASPE report</t>
        </is>
      </c>
      <c r="F177" s="12" t="inlineStr">
        <is>
          <t>Policy Changes section; footnotes VIII, XXII; note sec. 5 (ASPE's $891 billion)</t>
        </is>
      </c>
      <c r="G177" s="12" t="inlineStr">
        <is>
          <t>Note sec. 5</t>
        </is>
      </c>
      <c r="H177" s="12" t="inlineStr">
        <is>
          <t>Object of analysis</t>
        </is>
      </c>
      <c r="I177" s="12" t="inlineStr">
        <is>
          <t>statute, not rule</t>
        </is>
      </c>
      <c r="J177" s="12" t="inlineStr">
        <is>
          <t>2025–2034 vs CMS's 2026–2035</t>
        </is>
      </c>
      <c r="K177" s="12" t="inlineStr">
        <is>
          <t>unstated vs real 2026</t>
        </is>
      </c>
      <c r="L177" s="12" t="inlineStr">
        <is>
          <t>not comparable</t>
        </is>
      </c>
      <c r="M177"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7" s="12" t="inlineStr">
        <is>
          <t>verified — re-checked October 13, 2026, second pass: ASPE matches: its three estimates rescale RAND's and CBO's scores of the legislation over 2025-2034 (footnote xxii on RAND), not CMS's proposed rules over 2026-2035.</t>
        </is>
      </c>
    </row>
    <row r="178" ht="74.25" customHeight="1" s="10">
      <c r="A178" s="12" t="inlineStr">
        <is>
          <t>4. Third-party figures</t>
        </is>
      </c>
      <c r="B178" s="13" t="inlineStr">
        <is>
          <t>TP-14</t>
        </is>
      </c>
      <c r="C178" s="12" t="inlineStr">
        <is>
          <t>ASPE's price-side finding is the counterpart to the $35.0B private payer line in CMS-2452-P</t>
        </is>
      </c>
      <c r="D178" s="12" t="inlineStr">
        <is>
          <t>derived arithmetic — interpretive</t>
        </is>
      </c>
      <c r="E178" s="12" t="inlineStr">
        <is>
          <t>ASPE report; CMS-2452-P Table 8</t>
        </is>
      </c>
      <c r="F178" s="12" t="inlineStr">
        <is>
          <t>pp. 10–11; Table 8, 91 FR 46590</t>
        </is>
      </c>
      <c r="G178" s="12" t="inlineStr">
        <is>
          <t>Note sec. 3d</t>
        </is>
      </c>
      <c r="H178" s="12" t="inlineStr">
        <is>
          <t>Conceptual correspondence, not a numerical equivalence</t>
        </is>
      </c>
      <c r="I178" s="12" t="inlineStr">
        <is>
          <t>private payers</t>
        </is>
      </c>
      <c r="J178" s="12" t="inlineStr">
        <is>
          <t>differing</t>
        </is>
      </c>
      <c r="K178" s="12" t="inlineStr">
        <is>
          <t>differing</t>
        </is>
      </c>
      <c r="L178" s="12" t="inlineStr">
        <is>
          <t>differing</t>
        </is>
      </c>
      <c r="M178" s="12" t="inlineStr">
        <is>
          <t>Internal: both attribute part of the effect to commercial payers, but the horizons, bases and objects of analysis differ, so no numerical reconciliation is attempted or possible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8" s="12" t="inlineStr">
        <is>
          <t>verified with caveat — interpretive, not an equivalence — re-checked October 13, 2026, second pass: ASPE's price finding is confirmed; the 'counterpart' of CMS's $35.0 billion stays THEIA Services' [I] reading.</t>
        </is>
      </c>
    </row>
    <row r="179" ht="84.75" customHeight="1" s="10">
      <c r="A179" s="12" t="inlineStr">
        <is>
          <t>4. Third-party figures</t>
        </is>
      </c>
      <c r="B179" s="13" t="inlineStr">
        <is>
          <t>TP-15</t>
        </is>
      </c>
      <c r="C179"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79" s="12" t="inlineStr">
        <is>
          <t>derived arithmetic [E]/[I]</t>
        </is>
      </c>
      <c r="E179" s="12" t="inlineStr">
        <is>
          <t>KFF Medicaid brief; CMS-2452-P</t>
        </is>
      </c>
      <c r="F179" s="12" t="inlineStr">
        <is>
          <t>91 FR 46592 (R1011); KFF, "At Least 37 States Have Medicaid State Directed Payments for Hospital Services That Could Be Reduced by the 2025 Reconciliation Law Limits," August 14, 2026; note sec. 5 ("KFF's $155 billion")</t>
        </is>
      </c>
      <c r="G179" s="12" t="inlineStr">
        <is>
          <t>KFF: "$155 billion of those reductions are also part of the reduced spending stemming from changes to provider tax rules"</t>
        </is>
      </c>
      <c r="H179" s="12" t="inlineStr">
        <is>
          <t>The same measurement on two different denominators</t>
        </is>
      </c>
      <c r="I179" s="12" t="inlineStr">
        <is>
          <t>federal only vs total computable</t>
        </is>
      </c>
      <c r="J179" s="12" t="inlineStr">
        <is>
          <t>FY2026–2035</t>
        </is>
      </c>
      <c r="K179" s="12" t="inlineStr">
        <is>
          <t>real 2026 dollars</t>
        </is>
      </c>
      <c r="L179" s="12" t="inlineStr">
        <is>
          <t>primary</t>
        </is>
      </c>
      <c r="M179"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 VERIFIED October 13, 2026, second pass (verification_v4_log.md): KFF, Aug 14, 2026 brief (https://www.kff.org/medicaid/at-least-37-states-have-medicaid-state-directed-payments-for-hospital-services-that-could-be-reduced-by-the-2025-reconciliation-law-limits/), matched by script. KFF dates CMS's $510 billion as 2026-2034; CMS's own window is 2026-2035 (91 FR 30451). v17 states no window for KFF's figure, so nothing changes.</t>
        </is>
      </c>
      <c r="N179" s="12" t="inlineStr">
        <is>
          <t>verified — re-checked October 13, 2026, second pass: KFF brief matches ($155 billion of the $510 billion 'also part of the reduced spending stemming from changes to provider tax rules'); CMS's $154.9 billion at 91 FR 46592 matched earlier.</t>
        </is>
      </c>
    </row>
    <row r="180" ht="116.25" customHeight="1" s="10">
      <c r="A180" s="12" t="inlineStr">
        <is>
          <t>4. Third-party figures</t>
        </is>
      </c>
      <c r="B180" s="13" t="inlineStr">
        <is>
          <t>TP-16</t>
        </is>
      </c>
      <c r="C180" s="12" t="inlineStr">
        <is>
          <t>The Federation of American Hospitals made net-of-tax methodology the central argument of its July 21 comment letter, urging CMS to account for the provider taxes that partly finance SDPs</t>
        </is>
      </c>
      <c r="D180" s="12" t="inlineStr">
        <is>
          <t>third-party position</t>
        </is>
      </c>
      <c r="E180" s="12" t="inlineStr">
        <is>
          <t>Federation of American Hospitals</t>
        </is>
      </c>
      <c r="F180" s="12" t="inlineStr">
        <is>
          <t>Comment letter, docket CMS-2026-1916, July 21, 2026</t>
        </is>
      </c>
      <c r="G180" s="12" t="inlineStr">
        <is>
          <t>Note sec. 3c</t>
        </is>
      </c>
      <c r="H180" s="12" t="inlineStr">
        <is>
          <t>A commenter's methodological position, not a quantitative estimate</t>
        </is>
      </c>
      <c r="I180" s="12" t="inlineStr">
        <is>
          <t>provider aggregate</t>
        </is>
      </c>
      <c r="J180" s="12" t="inlineStr">
        <is>
          <t>n/a</t>
        </is>
      </c>
      <c r="K180" s="12" t="inlineStr">
        <is>
          <t>n/a</t>
        </is>
      </c>
      <c r="L180" s="12" t="inlineStr">
        <is>
          <t>not scenario-dependent</t>
        </is>
      </c>
      <c r="M180"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0" s="12" t="inlineStr">
        <is>
          <t>SUPERSEDED — 'central argument' characterization removed; replaced by TP-21</t>
        </is>
      </c>
    </row>
    <row r="181" ht="126.75" customHeight="1" s="10">
      <c r="A181" s="12" t="inlineStr">
        <is>
          <t>4. Third-party figures</t>
        </is>
      </c>
      <c r="B181" s="13" t="inlineStr">
        <is>
          <t>TP-17</t>
        </is>
      </c>
      <c r="C181" s="12" t="inlineStr">
        <is>
          <t>The Texas Hospital Association published paired gross and net figures in 2025; at least one state hospital association has published paired gross and net figures</t>
        </is>
      </c>
      <c r="D181" s="12" t="inlineStr">
        <is>
          <t>third-party estimate [E]</t>
        </is>
      </c>
      <c r="E181" s="12" t="inlineStr">
        <is>
          <t>Texas Hospital Association</t>
        </is>
      </c>
      <c r="F181" s="12" t="inlineStr">
        <is>
          <t>THA, "Proposed Medicaid Cuts Would Have Catastrophic Impact On Texas," 2025; note sec. 9 item 10, App. F ('Draft note, who nets provider taxes')</t>
        </is>
      </c>
      <c r="G181" s="12" t="inlineStr">
        <is>
          <t>Note App. F</t>
        </is>
      </c>
      <c r="H181" s="12" t="inlineStr">
        <is>
          <t>Paired gross and net state-level figures</t>
        </is>
      </c>
      <c r="I181" s="12" t="inlineStr">
        <is>
          <t>one state</t>
        </is>
      </c>
      <c r="J181" s="12" t="inlineStr">
        <is>
          <t>2025, while the reconciliation law was pending</t>
        </is>
      </c>
      <c r="K181" s="12" t="inlineStr">
        <is>
          <t>not stated</t>
        </is>
      </c>
      <c r="L181" s="12" t="inlineStr">
        <is>
          <t>not stated</t>
        </is>
      </c>
      <c r="M181"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181" s="12" t="inlineStr">
        <is>
          <t>single-source - existence claim only, no figures reproduced — re-checked October 13, 2026, second pass: THA's 2025 publication matches (paired gross and net figures).</t>
        </is>
      </c>
    </row>
    <row r="182" ht="137.25" customHeight="1" s="10">
      <c r="A182" s="12" t="inlineStr">
        <is>
          <t>4. Third-party figures</t>
        </is>
      </c>
      <c r="B182" s="13" t="inlineStr">
        <is>
          <t>TP-18</t>
        </is>
      </c>
      <c r="C182" s="12" t="inlineStr">
        <is>
          <t>The Georgetown CCF comment on CMS-2452-P compares CMS's $245.8B federal reduction with CBO's $191.1B Sec. 71115 score</t>
        </is>
      </c>
      <c r="D182" s="12" t="inlineStr">
        <is>
          <t>third-party position — context, not a note claim</t>
        </is>
      </c>
      <c r="E182" s="12" t="inlineStr">
        <is>
          <t>Georgetown CCF</t>
        </is>
      </c>
      <c r="F182" s="12" t="inlineStr">
        <is>
          <t>Comment, docket CMS-2026-2476, ID -0029, Sept 11, 2026</t>
        </is>
      </c>
      <c r="G182" s="12" t="inlineStr">
        <is>
          <t>Comment text</t>
        </is>
      </c>
      <c r="H182" s="12" t="inlineStr">
        <is>
          <t>A comparison of a CMS rule estimate with a CBO statutory score</t>
        </is>
      </c>
      <c r="I182" s="12" t="inlineStr">
        <is>
          <t>federal only</t>
        </is>
      </c>
      <c r="J182" s="12" t="inlineStr">
        <is>
          <t>FY2026–2035 vs FY2025–2034</t>
        </is>
      </c>
      <c r="K182" s="12" t="inlineStr">
        <is>
          <t>real 2026 vs nominal</t>
        </is>
      </c>
      <c r="L182" s="12" t="inlineStr">
        <is>
          <t>primary vs statutory score</t>
        </is>
      </c>
      <c r="M182"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2" s="12" t="inlineStr">
        <is>
          <t>single-source — context only, not a note claim</t>
        </is>
      </c>
    </row>
    <row r="183" ht="178.5" customHeight="1" s="10">
      <c r="A183" s="12" t="inlineStr">
        <is>
          <t>4. Third-party figures</t>
        </is>
      </c>
      <c r="B183" s="13" t="inlineStr">
        <is>
          <t>TP-19</t>
        </is>
      </c>
      <c r="C183" s="12" t="inlineStr">
        <is>
          <t>Lipson's 'one-third' is a share of above-Medicare SDP arrangements, not of dollars, so it does not conflict with CMS's 55–75 percent range or 65 percent point estimate, which are shares of SDP spending</t>
        </is>
      </c>
      <c r="D183" s="12" t="inlineStr">
        <is>
          <t>third-party estimate — context, not a note claim</t>
        </is>
      </c>
      <c r="E183" s="12" t="inlineStr">
        <is>
          <t>Lipson, Health Affairs</t>
        </is>
      </c>
      <c r="F183" s="12" t="inlineStr">
        <is>
          <t>Sept 9, 2026</t>
        </is>
      </c>
      <c r="G183" s="12" t="inlineStr">
        <is>
          <t>Article</t>
        </is>
      </c>
      <c r="H183" s="12" t="inlineStr">
        <is>
          <t>Share of arrangements (a count), not of spending</t>
        </is>
      </c>
      <c r="I183" s="12" t="inlineStr">
        <is>
          <t>arrangement level</t>
        </is>
      </c>
      <c r="J183" s="12" t="inlineStr">
        <is>
          <t>not stated</t>
        </is>
      </c>
      <c r="K183" s="12" t="inlineStr">
        <is>
          <t>share</t>
        </is>
      </c>
      <c r="L183" s="12" t="inlineStr">
        <is>
          <t>not scenario-dependent</t>
        </is>
      </c>
      <c r="M183"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83" s="12" t="inlineStr">
        <is>
          <t>SUPERSEDED — premise conflicts with CE-48; no replacement row</t>
        </is>
      </c>
    </row>
    <row r="184" ht="32.25" customHeight="1" s="10">
      <c r="A184" s="12" t="inlineStr">
        <is>
          <t>4. Third-party figures</t>
        </is>
      </c>
      <c r="B184" s="13" t="inlineStr">
        <is>
          <t>TP-20</t>
        </is>
      </c>
      <c r="C184" s="12" t="inlineStr">
        <is>
          <t>Lipson's count of 39 states covers all four affected provider classes; KFF's 37 counts states with hospital SDPs likely affected</t>
        </is>
      </c>
      <c r="D184" s="12" t="inlineStr">
        <is>
          <t>third-party estimate — context, not a note claim</t>
        </is>
      </c>
      <c r="E184" s="12" t="inlineStr">
        <is>
          <t>Lipson, Health Affairs</t>
        </is>
      </c>
      <c r="F184" s="12" t="inlineStr">
        <is>
          <t>Sept 9, 2026</t>
        </is>
      </c>
      <c r="G184" s="12" t="inlineStr">
        <is>
          <t>Article</t>
        </is>
      </c>
      <c r="H184" s="12" t="inlineStr">
        <is>
          <t>Count of states with affected SDPs across all provider classes</t>
        </is>
      </c>
      <c r="I184" s="12" t="inlineStr">
        <is>
          <t>state count, all four provider classes</t>
        </is>
      </c>
      <c r="J184" s="12" t="inlineStr">
        <is>
          <t>not stated</t>
        </is>
      </c>
      <c r="K184" s="12" t="inlineStr">
        <is>
          <t>n/a</t>
        </is>
      </c>
      <c r="L184" s="12" t="inlineStr">
        <is>
          <t>not scenario-dependent</t>
        </is>
      </c>
      <c r="M184" s="12" t="inlineStr">
        <is>
          <t>Different scope from SE-01, which counts hospital SDPs only, so the two counts do not conflict. Prepared answer to '39 states, not 37'</t>
        </is>
      </c>
      <c r="N184" s="12" t="inlineStr">
        <is>
          <t>single-source — context only, not a note claim</t>
        </is>
      </c>
    </row>
    <row r="185" ht="126.75" customHeight="1" s="10">
      <c r="A185" s="12" t="inlineStr">
        <is>
          <t>4. Third-party figures</t>
        </is>
      </c>
      <c r="B185" s="13" t="inlineStr">
        <is>
          <t>TP-21</t>
        </is>
      </c>
      <c r="C185" s="12" t="inlineStr">
        <is>
          <t>The Federation of American Hospitals asked CMS to count the provider taxes that partly fund SDPs when it calculates the rate tested against the cap</t>
        </is>
      </c>
      <c r="D185" s="12" t="inlineStr">
        <is>
          <t>third-party position [E]</t>
        </is>
      </c>
      <c r="E185" s="12" t="inlineStr">
        <is>
          <t>Federation of American Hospitals</t>
        </is>
      </c>
      <c r="F185" s="12" t="inlineStr">
        <is>
          <t>FAH comments on CMS-2449-P, comment CMS-2026-1916-0676, p. 2 (docket CMS-2026-1916); note App. F ('Draft note, who nets provider taxes')</t>
        </is>
      </c>
      <c r="G185" s="12" t="inlineStr">
        <is>
          <t>Note App. F</t>
        </is>
      </c>
      <c r="H185" s="12" t="inlineStr">
        <is>
          <t>A commenter's methodological position, not a quantitative estimate</t>
        </is>
      </c>
      <c r="I185" s="12" t="inlineStr">
        <is>
          <t>provider aggregate</t>
        </is>
      </c>
      <c r="J185" s="12" t="inlineStr">
        <is>
          <t>n/a</t>
        </is>
      </c>
      <c r="K185" s="12" t="inlineStr">
        <is>
          <t>n/a</t>
        </is>
      </c>
      <c r="L185" s="12" t="inlineStr">
        <is>
          <t>not scenario-dependent</t>
        </is>
      </c>
      <c r="M185"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85" s="12" t="inlineStr">
        <is>
          <t>verified — upgraded from single-source: re-checked October 13, 2026: comment CMS-2026-1916-0676 (Federation of American Hospitals), p. 2 of 45, asks CMS to calculate the total payment rate accounting for the provider taxes that partly finance SDPs.</t>
        </is>
      </c>
    </row>
    <row r="186" ht="116.25" customHeight="1" s="10">
      <c r="A186" s="12" t="inlineStr">
        <is>
          <t>4. Third-party figures</t>
        </is>
      </c>
      <c r="B186" s="13" t="inlineStr">
        <is>
          <t>TP-22</t>
        </is>
      </c>
      <c r="C186" s="12" t="inlineStr">
        <is>
          <t>HFMA's headline uses $220 billion; the $56.6 billion appears once, in the body</t>
        </is>
      </c>
      <c r="D186" s="12" t="inlineStr">
        <is>
          <t>third-party estimate</t>
        </is>
      </c>
      <c r="E186" s="12" t="inlineStr">
        <is>
          <t>HFMA</t>
        </is>
      </c>
      <c r="F186" s="12" t="inlineStr">
        <is>
          <t>"Medicaid provider tax proposed rule could cut payments by $220 billion over 10 years," July 22, 2026</t>
        </is>
      </c>
      <c r="G186" s="12" t="inlineStr">
        <is>
          <t>Headline; body passage at TP-01</t>
        </is>
      </c>
      <c r="H186" s="12" t="inlineStr">
        <is>
          <t>Which figure HFMA leads with</t>
        </is>
      </c>
      <c r="I186" s="12" t="inlineStr">
        <is>
          <t>provider aggregate</t>
        </is>
      </c>
      <c r="J186" s="12" t="inlineStr">
        <is>
          <t>2026–2035</t>
        </is>
      </c>
      <c r="K186" s="12" t="inlineStr">
        <is>
          <t>unstated</t>
        </is>
      </c>
      <c r="L186" s="12" t="inlineStr">
        <is>
          <t>not stated</t>
        </is>
      </c>
      <c r="M186"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86" s="12" t="inlineStr">
        <is>
          <t>SUPERSEDED — HFMA headline no longer discussed</t>
        </is>
      </c>
    </row>
    <row r="187" ht="63.75" customHeight="1" s="10">
      <c r="A187" s="12" t="inlineStr">
        <is>
          <t>4. Third-party figures</t>
        </is>
      </c>
      <c r="B187" s="13" t="inlineStr">
        <is>
          <t>TP-23</t>
        </is>
      </c>
      <c r="C187" s="12" t="inlineStr">
        <is>
          <t>HFMA's stated baseline matches CMS's, which is measured against a scenario without the 2025 law</t>
        </is>
      </c>
      <c r="D187" s="12" t="inlineStr">
        <is>
          <t>third-party estimate + CMS estimate (baseline) [E]/[I]</t>
        </is>
      </c>
      <c r="E187" s="12" t="inlineStr">
        <is>
          <t>HFMA; CMS-2452-P RIA</t>
        </is>
      </c>
      <c r="F187" s="12" t="inlineStr">
        <is>
          <t>HFMA, July 22, 2026; CMS-2452-P 91 FR 46562 RIA; Tables 5, 9, 10, 91 FR 46589–46591; note sec. 5 (HFMA paragraph); sec. 3</t>
        </is>
      </c>
      <c r="G187" s="12" t="inlineStr">
        <is>
          <t>HFMA: "compared with a scenario in which there is no OBBBA and no proposed rule"</t>
        </is>
      </c>
      <c r="H187" s="12" t="inlineStr">
        <is>
          <t>Baseline correspondence</t>
        </is>
      </c>
      <c r="I187" s="12" t="inlineStr">
        <is>
          <t>provider aggregate</t>
        </is>
      </c>
      <c r="J187" s="12" t="inlineStr">
        <is>
          <t>FY2026–2035</t>
        </is>
      </c>
      <c r="K187" s="12" t="inlineStr">
        <is>
          <t>real 2026 dollars</t>
        </is>
      </c>
      <c r="L187" s="12" t="inlineStr">
        <is>
          <t>primary, excluding interaction</t>
        </is>
      </c>
      <c r="M187"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87" s="12" t="inlineStr">
        <is>
          <t>verified - pre-statute baseline verified at D-16 — re-checked October 13, 2026, second pass: HFMA's stated baseline matches; CMS's no-OBBBA baseline was verified at D-16.</t>
        </is>
      </c>
    </row>
    <row r="188" ht="147.75" customHeight="1" s="10">
      <c r="A188" s="12" t="inlineStr">
        <is>
          <t>4. Third-party figures</t>
        </is>
      </c>
      <c r="B188" s="13" t="inlineStr">
        <is>
          <t>TP-24</t>
        </is>
      </c>
      <c r="C188"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88" s="12" t="inlineStr">
        <is>
          <t>derived arithmetic - interpretive [I]</t>
        </is>
      </c>
      <c r="E188" s="12" t="inlineStr">
        <is>
          <t>CMS-2452-P Tables 8, 12; HFMA</t>
        </is>
      </c>
      <c r="F188" s="12" t="inlineStr">
        <is>
          <t>91 FR 46590, 46592; R0559, R0702; note sec. 5 (HFMA's $56.6 billion)</t>
        </is>
      </c>
      <c r="G188" s="12" t="inlineStr">
        <is>
          <t>Note sec. 5</t>
        </is>
      </c>
      <c r="H188" s="12" t="inlineStr">
        <is>
          <t>Diagnosis of an apparent double subtraction</t>
        </is>
      </c>
      <c r="I188" s="12" t="inlineStr">
        <is>
          <t>provider aggregate</t>
        </is>
      </c>
      <c r="J188" s="12" t="inlineStr">
        <is>
          <t>2026–2035</t>
        </is>
      </c>
      <c r="K188" s="12" t="inlineStr">
        <is>
          <t>mixed</t>
        </is>
      </c>
      <c r="L188" s="12" t="inlineStr">
        <is>
          <t>primary</t>
        </is>
      </c>
      <c r="M188"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88" s="12" t="inlineStr">
        <is>
          <t>verified with caveat - the arithmetic closes; the note presents it as a reading — re-checked October 13, 2026, second pass: HFMA's figures match ($220.3 billion, $163.7 billion, $56.6 billion; 220.3 - 163.7 = 56.6); the double-subtraction stays THEIA Services' [I] reading.</t>
        </is>
      </c>
    </row>
    <row r="189" ht="116.25" customHeight="1" s="10">
      <c r="A189" s="12" t="inlineStr">
        <is>
          <t>4. Third-party figures</t>
        </is>
      </c>
      <c r="B189" s="13" t="inlineStr">
        <is>
          <t>TP-25</t>
        </is>
      </c>
      <c r="C189" s="12" t="inlineStr">
        <is>
          <t>HFMA's own article treats the States row as net of lost tax revenue</t>
        </is>
      </c>
      <c r="D189" s="12" t="inlineStr">
        <is>
          <t>third-party estimate</t>
        </is>
      </c>
      <c r="E189" s="12" t="inlineStr">
        <is>
          <t>HFMA article</t>
        </is>
      </c>
      <c r="F189" s="12" t="inlineStr">
        <is>
          <t>July 22, 2026</t>
        </is>
      </c>
      <c r="G189" s="12" t="inlineStr">
        <is>
          <t>Note sec. 3a</t>
        </is>
      </c>
      <c r="H189" s="12" t="inlineStr">
        <is>
          <t>HFMA's reading of Table 12's States row</t>
        </is>
      </c>
      <c r="I189" s="12" t="inlineStr">
        <is>
          <t>state only</t>
        </is>
      </c>
      <c r="J189" s="12" t="inlineStr">
        <is>
          <t>2026–2035</t>
        </is>
      </c>
      <c r="K189" s="12" t="inlineStr">
        <is>
          <t>unstated</t>
        </is>
      </c>
      <c r="L189" s="12" t="inlineStr">
        <is>
          <t>primary</t>
        </is>
      </c>
      <c r="M189"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89" s="12" t="inlineStr">
        <is>
          <t>SUPERSEDED — not stated in v17</t>
        </is>
      </c>
    </row>
    <row r="190" ht="95.25" customHeight="1" s="10">
      <c r="A190" s="12" t="inlineStr">
        <is>
          <t>4. Third-party figures</t>
        </is>
      </c>
      <c r="B190" s="13" t="inlineStr">
        <is>
          <t>TP-26</t>
        </is>
      </c>
      <c r="C190" s="12" t="inlineStr">
        <is>
          <t>ASPE's $891B cannot be compared directly with THEIA Services' combined $916.9B, because ASPE scored the OBBBA's provisions directly rather than as CMS's proposed rules would implement them, over different years</t>
        </is>
      </c>
      <c r="D190" s="12" t="inlineStr">
        <is>
          <t>derived arithmetic - context [I]</t>
        </is>
      </c>
      <c r="E190" s="12" t="inlineStr">
        <is>
          <t>ASPE; both RIAs</t>
        </is>
      </c>
      <c r="F190" s="12" t="inlineStr">
        <is>
          <t>ASPE, Aug 12, 2026, p. 11; CE-38; note sec. 5 (ASPE's $891 billion)</t>
        </is>
      </c>
      <c r="G190" s="12" t="inlineStr">
        <is>
          <t>Note sec. 5</t>
        </is>
      </c>
      <c r="H190" s="12" t="inlineStr">
        <is>
          <t>Order-of-magnitude comparison only</t>
        </is>
      </c>
      <c r="I190" s="12" t="inlineStr">
        <is>
          <t>total computable</t>
        </is>
      </c>
      <c r="J190" s="12" t="inlineStr">
        <is>
          <t>2025–2034 vs 2026–2035</t>
        </is>
      </c>
      <c r="K190" s="12" t="inlineStr">
        <is>
          <t>unstated vs real 2026</t>
        </is>
      </c>
      <c r="L190" s="12" t="inlineStr">
        <is>
          <t>sensitivity vs primary</t>
        </is>
      </c>
      <c r="M190"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90" s="12" t="inlineStr">
        <is>
          <t>verified — re-checked October 13, 2026, second pass: ASPE's $891 billion and its 2025-2034 window match; the non-comparability is THEIA Services' [I] reading.</t>
        </is>
      </c>
    </row>
    <row r="191" ht="126.75" customHeight="1" s="10">
      <c r="A191" s="12" t="inlineStr">
        <is>
          <t>4. Third-party figures</t>
        </is>
      </c>
      <c r="B191" s="13" t="inlineStr">
        <is>
          <t>TP-27</t>
        </is>
      </c>
      <c r="C191" s="12" t="inlineStr">
        <is>
          <t>HFMA, Georgetown CCF and KFF each label their measures by what they measure, and KFF publishes its imputation methodology and caveats</t>
        </is>
      </c>
      <c r="D191" s="12" t="inlineStr">
        <is>
          <t>third-party position</t>
        </is>
      </c>
      <c r="E191" s="12" t="inlineStr">
        <is>
          <t>HFMA; Georgetown CCF; KFF</t>
        </is>
      </c>
      <c r="F191" s="12" t="inlineStr">
        <is>
          <t>TP-01; TP-08; KFF brief, Aug 14, 2026, Methods</t>
        </is>
      </c>
      <c r="G191" s="12" t="inlineStr">
        <is>
          <t>Note sec. 3c</t>
        </is>
      </c>
      <c r="H191" s="12" t="inlineStr">
        <is>
          <t>Labelling practice of three sources</t>
        </is>
      </c>
      <c r="I191" s="12" t="inlineStr">
        <is>
          <t>n/a</t>
        </is>
      </c>
      <c r="J191" s="12" t="inlineStr">
        <is>
          <t>n/a</t>
        </is>
      </c>
      <c r="K191" s="12" t="inlineStr">
        <is>
          <t>n/a</t>
        </is>
      </c>
      <c r="L191" s="12" t="inlineStr">
        <is>
          <t>not scenario-dependent</t>
        </is>
      </c>
      <c r="M191"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1" s="12" t="inlineStr">
        <is>
          <t>SUPERSEDED — sector-labelling comparison no longer stated</t>
        </is>
      </c>
    </row>
    <row r="192" ht="116.25" customHeight="1" s="10">
      <c r="A192" s="12" t="inlineStr">
        <is>
          <t>4. Third-party figures</t>
        </is>
      </c>
      <c r="B192" s="13" t="inlineStr">
        <is>
          <t>TP-28</t>
        </is>
      </c>
      <c r="C192" s="12" t="inlineStr">
        <is>
          <t>Press reports describe hospitals lobbying against the rules</t>
        </is>
      </c>
      <c r="D192" s="12" t="inlineStr">
        <is>
          <t>contextual</t>
        </is>
      </c>
      <c r="E192" s="12" t="inlineStr">
        <is>
          <t>POLITICO</t>
        </is>
      </c>
      <c r="F192" s="12" t="inlineStr">
        <is>
          <t>POLITICO, September 2, 2026</t>
        </is>
      </c>
      <c r="G192" s="12" t="inlineStr">
        <is>
          <t>Note sec. 7, item 11</t>
        </is>
      </c>
      <c r="H192" s="12" t="inlineStr">
        <is>
          <t>Existence of reported lobbying opposition</t>
        </is>
      </c>
      <c r="I192" s="12" t="inlineStr">
        <is>
          <t>n/a</t>
        </is>
      </c>
      <c r="J192" s="12" t="inlineStr">
        <is>
          <t>as of Sept 2, 2026</t>
        </is>
      </c>
      <c r="K192" s="12" t="inlineStr">
        <is>
          <t>n/a</t>
        </is>
      </c>
      <c r="L192" s="12" t="inlineStr">
        <is>
          <t>not scenario-dependent</t>
        </is>
      </c>
      <c r="M192"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2" s="12" t="inlineStr">
        <is>
          <t>SUPERSEDED — lobbying report no longer stated</t>
        </is>
      </c>
    </row>
    <row r="193" ht="84.75" customHeight="1" s="10">
      <c r="A193" s="12" t="inlineStr">
        <is>
          <t>4. Third-party figures</t>
        </is>
      </c>
      <c r="B193" s="13" t="inlineStr">
        <is>
          <t>TP-29</t>
        </is>
      </c>
      <c r="C193" s="12" t="inlineStr">
        <is>
          <t>Of the five comments on the provider tax rule that cite $220.3B (five distinct texts, the same as filed and corrected), four describe it as a payment cut (comments CMS-2026-2476-0049, -0085, -0190 and -0201) and one as net of lower taxes (-0212); none arrives at $56.6B</t>
        </is>
      </c>
      <c r="D193" s="12" t="inlineStr">
        <is>
          <t>third-party position [E]</t>
        </is>
      </c>
      <c r="E193" s="12" t="inlineStr">
        <is>
          <t>Comments on CMS-2452-P</t>
        </is>
      </c>
      <c r="F193" s="12" t="inlineStr">
        <is>
          <t>Comments CMS-2026-2476-0049, -0085, -0190, -0201, -0212; note sec. 5 (HFMA paragraph)</t>
        </is>
      </c>
      <c r="G193" s="12" t="inlineStr">
        <is>
          <t>Note sec. 5</t>
        </is>
      </c>
      <c r="H193" s="12" t="inlineStr">
        <is>
          <t>How commenters describe the $220.3B</t>
        </is>
      </c>
      <c r="I193" s="12" t="inlineStr">
        <is>
          <t>provider tax rule docket</t>
        </is>
      </c>
      <c r="J193" s="12" t="inlineStr">
        <is>
          <t>snapshot October 7, 2026</t>
        </is>
      </c>
      <c r="K193" s="12" t="inlineStr">
        <is>
          <t>real 2026 dollars</t>
        </is>
      </c>
      <c r="L193" s="12" t="inlineStr">
        <is>
          <t>central, excluding interaction</t>
        </is>
      </c>
      <c r="M193"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t>
        </is>
      </c>
      <c r="N193" s="12" t="inlineStr">
        <is>
          <t>verified — upgraded from single-source: re-checked October 13, 2026: exactly five CMS-2452-P comments (five distinct texts, both views) cite $220.3 billion; -0049, -0085, -0190 and -0201 as a payment cut, -0212 as net of lower taxes; none has $56.6 billion.</t>
        </is>
      </c>
    </row>
    <row r="194" ht="63.75" customHeight="1" s="10">
      <c r="A194" s="12" t="inlineStr">
        <is>
          <t>4. Third-party figures</t>
        </is>
      </c>
      <c r="B194" s="13" t="inlineStr">
        <is>
          <t>TP-30</t>
        </is>
      </c>
      <c r="C194" s="12" t="inlineStr">
        <is>
          <t>The most recent state-by-state dollar figures for SDP financing by source cover 2022 (Government Accountability Office, GAO-24-106202, Table 4)</t>
        </is>
      </c>
      <c r="D194" s="12" t="inlineStr">
        <is>
          <t>third-party estimate (federal oversight body) [E]</t>
        </is>
      </c>
      <c r="E194" s="12" t="inlineStr">
        <is>
          <t>GAO</t>
        </is>
      </c>
      <c r="F194" s="12" t="inlineStr">
        <is>
          <t>GAO-24-106202, Table 4; note sec. 2</t>
        </is>
      </c>
      <c r="G194" s="12" t="inlineStr">
        <is>
          <t>Note sec. 2</t>
        </is>
      </c>
      <c r="H194" s="12" t="inlineStr">
        <is>
          <t>Dollars of SDP financing by source and state, as of the latest available report</t>
        </is>
      </c>
      <c r="I194" s="12" t="inlineStr">
        <is>
          <t>state level</t>
        </is>
      </c>
      <c r="J194" s="12" t="inlineStr">
        <is>
          <t>2022</t>
        </is>
      </c>
      <c r="K194" s="12" t="inlineStr">
        <is>
          <t>not stated</t>
        </is>
      </c>
      <c r="L194" s="12" t="inlineStr">
        <is>
          <t>not scenario-dependent</t>
        </is>
      </c>
      <c r="M194" s="12" t="inlineStr">
        <is>
          <t>Not read in the verification files or for this ledger. The change map lists GAO-24-106202 Table 4 as an existing citation 'still open' (U-5). Supports NC-18. CORRECTED October 14, 2026, third pass (verification_v4_log.md): GAO-24-106202 (user-supplied copy: 4ba29095-GAO-24-106202.pdf), matched by script. Table 4 gives, by state, one column 'Nonfederal share from providers and local governments', which note a defines as provider taxes and intergovernmental transfers together, for directed payments approved as of August 26, 2022. GAO treated the whole nonfederal share as state general funds for the 25 payments financed partly by providers or local governments, 'As such, the total amount of the nonfederal share from providers and local governments is undercounted.' So the 2022 date matches, but the table does not give dollars by source.</t>
        </is>
      </c>
      <c r="N194" s="12" t="inlineStr">
        <is>
          <t>corrected — source says: “since states do not provide information on the amount of funds from each source of the nonfederal share” (GAO-24-106202, December 2023, app. III, Table 4, pp. 44–46, note a and footnote 2; user-supplied copy: 4ba29095-GAO-24-106202.pdf). v17 must change Sec. 2 (see verification_v4_log.md). Base status was single-source — not re-read in the review or for this ledger; re-checked October 14, 2026, third pass.</t>
        </is>
      </c>
    </row>
    <row r="195" ht="95.25" customHeight="1" s="10">
      <c r="A195" s="12" t="inlineStr">
        <is>
          <t>4. Third-party figures</t>
        </is>
      </c>
      <c r="B195" s="13" t="inlineStr">
        <is>
          <t>TP-31</t>
        </is>
      </c>
      <c r="C195" s="12" t="inlineStr">
        <is>
          <t>The Children's Hospital Association of Texas describes Texas v. CMS, 805 F. Supp. 3d 734 (E.D. Tex. 2025), as a permanent injunction against CMS's hold harmless test for Texas's local provider participation funds</t>
        </is>
      </c>
      <c r="D195" s="12" t="inlineStr">
        <is>
          <t>third-party position [E]</t>
        </is>
      </c>
      <c r="E195" s="12" t="inlineStr">
        <is>
          <t>Children's Hospital Association of Texas, comment CMS-2026-2476-0114</t>
        </is>
      </c>
      <c r="F195" s="12" t="inlineStr">
        <is>
          <t>Comment CMS-2026-2476-0114, pp. 13–14 of 14; note sec. 9 item 6</t>
        </is>
      </c>
      <c r="G195" s="12" t="inlineStr">
        <is>
          <t>Note sec. 9, item 6</t>
        </is>
      </c>
      <c r="H195" s="12" t="inlineStr">
        <is>
          <t>A commenter's description of a court ruling</t>
        </is>
      </c>
      <c r="I195" s="12" t="inlineStr">
        <is>
          <t>Texas</t>
        </is>
      </c>
      <c r="J195" s="12" t="inlineStr">
        <is>
          <t>2025</t>
        </is>
      </c>
      <c r="K195" s="12" t="inlineStr">
        <is>
          <t>n/a</t>
        </is>
      </c>
      <c r="L195" s="12" t="inlineStr">
        <is>
          <t>not scenario-dependent</t>
        </is>
      </c>
      <c r="M195"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t>
        </is>
      </c>
      <c r="N195" s="12" t="inlineStr">
        <is>
          <t>single-source — CHAT's description; the ruling was not read; re-checked October 13, 2026: comment CMS-2026-2476-0114, pp. 13–14 of 14, matches (permanent injunction; 805 F. Supp. 3d 734).</t>
        </is>
      </c>
    </row>
    <row r="196" ht="105.75" customHeight="1" s="10">
      <c r="A196" s="12" t="inlineStr">
        <is>
          <t>4. Third-party figures</t>
        </is>
      </c>
      <c r="B196" s="13" t="inlineStr">
        <is>
          <t>TP-32</t>
        </is>
      </c>
      <c r="C196" s="12" t="inlineStr">
        <is>
          <t>One commenter describes CMS's 65 percent as a share of SDP spending (comment CMS-2026-2476-0204, p. 10); CMS states the 65 percent as a share of SDPs and its 55 to 75 percent range as a share of SDP spending (91 FR 46592)</t>
        </is>
      </c>
      <c r="D196" s="12" t="inlineStr">
        <is>
          <t>third-party position [E]</t>
        </is>
      </c>
      <c r="E196" s="12" t="inlineStr">
        <is>
          <t>Comment on CMS-2452-P; CMS-2452-P</t>
        </is>
      </c>
      <c r="F196" s="12" t="inlineStr">
        <is>
          <t>Comment CMS-2026-2476-0204, p. 10; 91 FR 46592; note App. D ('Draft note, how readers restate the 65 percent')</t>
        </is>
      </c>
      <c r="G196" s="12" t="inlineStr">
        <is>
          <t>Note App. D</t>
        </is>
      </c>
      <c r="H196" s="12" t="inlineStr">
        <is>
          <t>Denominator wording of the 65 percent</t>
        </is>
      </c>
      <c r="I196" s="12" t="inlineStr">
        <is>
          <t>SDPs</t>
        </is>
      </c>
      <c r="J196" s="12" t="inlineStr">
        <is>
          <t>n/a</t>
        </is>
      </c>
      <c r="K196" s="12" t="inlineStr">
        <is>
          <t>n/a - a share</t>
        </is>
      </c>
      <c r="L196" s="12" t="inlineStr">
        <is>
          <t>central</t>
        </is>
      </c>
      <c r="M196"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196" s="12" t="inlineStr">
        <is>
          <t>verified — upgraded from verified with caveat: re-checked October 13, 2026: comment CMS-2026-2476-0204 (Minnesota Hospital Association), p. 10, gives the 65 percent as a share of SDP spending; CMS's wording at 91 FR 46592 also matches.</t>
        </is>
      </c>
    </row>
    <row r="197" ht="84.75" customHeight="1" s="10">
      <c r="A197" s="12" t="inlineStr">
        <is>
          <t>4. Third-party figures</t>
        </is>
      </c>
      <c r="B197" s="13" t="inlineStr">
        <is>
          <t>TP-33</t>
        </is>
      </c>
      <c r="C197" s="12" t="inlineStr">
        <is>
          <t>Some commenters repeat the $264.4B from CMS's SDP rule text rather than the $264.7B in the table (comments CMS-2026-1916-0417, p. 6; -0509, p. 38; -0648, p. 3)</t>
        </is>
      </c>
      <c r="D197" s="12" t="inlineStr">
        <is>
          <t>third-party position [E]</t>
        </is>
      </c>
      <c r="E197" s="12" t="inlineStr">
        <is>
          <t>Comments on CMS-2449-P</t>
        </is>
      </c>
      <c r="F197" s="12" t="inlineStr">
        <is>
          <t>Comments CMS-2026-1916-0417, -0509, -0648; note App. E ('Draft note, text against tables')</t>
        </is>
      </c>
      <c r="G197" s="12" t="inlineStr">
        <is>
          <t>Note App. E</t>
        </is>
      </c>
      <c r="H197" s="12" t="inlineStr">
        <is>
          <t>Which version of the SDP rule's state figure commenters use</t>
        </is>
      </c>
      <c r="I197" s="12" t="inlineStr">
        <is>
          <t>SDP rule docket</t>
        </is>
      </c>
      <c r="J197" s="12" t="inlineStr">
        <is>
          <t>snapshot October 7, 2026</t>
        </is>
      </c>
      <c r="K197" s="12" t="inlineStr">
        <is>
          <t>real 2026 dollars</t>
        </is>
      </c>
      <c r="L197" s="12" t="inlineStr">
        <is>
          <t>central</t>
        </is>
      </c>
      <c r="M197"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197" s="12" t="inlineStr">
        <is>
          <t>verified — upgraded from single-source: re-checked October 13, 2026: comments CMS-2026-1916-0417 p. 6, -0509 p. 38 and -0648 p. 3 each give the state figure as $264.4 billion; Table 20's cells sum to $264.7 billion.</t>
        </is>
      </c>
    </row>
    <row r="198" ht="95.25" customHeight="1" s="10">
      <c r="A198" s="12" t="inlineStr">
        <is>
          <t>4. Third-party figures</t>
        </is>
      </c>
      <c r="B198" s="13" t="inlineStr">
        <is>
          <t>TP-34</t>
        </is>
      </c>
      <c r="C198"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198" s="12" t="inlineStr">
        <is>
          <t>third-party position [E]/[I]</t>
        </is>
      </c>
      <c r="E198" s="12" t="inlineStr">
        <is>
          <t>Comments on CMS-2452-P</t>
        </is>
      </c>
      <c r="F198" s="12" t="inlineStr">
        <is>
          <t>Comments CMS-2026-2476-0145, -0093, -0101, -0091; 91 FR 46593–46594; note App. E ('Draft note, how commenters read the provider tax rule's figures')</t>
        </is>
      </c>
      <c r="G198" s="12" t="inlineStr">
        <is>
          <t>Note App. E</t>
        </is>
      </c>
      <c r="H198" s="12" t="inlineStr">
        <is>
          <t>How commenters read CMS's interaction-inclusive figures</t>
        </is>
      </c>
      <c r="I198" s="12" t="inlineStr">
        <is>
          <t>provider tax rule docket</t>
        </is>
      </c>
      <c r="J198" s="12" t="inlineStr">
        <is>
          <t>snapshot October 7, 2026</t>
        </is>
      </c>
      <c r="K198" s="12" t="inlineStr">
        <is>
          <t>real 2026 dollars</t>
        </is>
      </c>
      <c r="L198" s="12" t="inlineStr">
        <is>
          <t>central; high-savings</t>
        </is>
      </c>
      <c r="M198"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198" s="12" t="inlineStr">
        <is>
          <t>verified with caveat — upgraded from single-source; the last two readings remain [I] ('appears to'): re-checked October 13, 2026: comments CMS-2026-2476-0145 pp. 3–4, -0093 p. 8, -0101 p. 1 and -0091 p. 27 say what the row describes.</t>
        </is>
      </c>
    </row>
    <row r="199" ht="95.25" customHeight="1" s="10">
      <c r="A199" s="12" t="inlineStr">
        <is>
          <t>4. Third-party figures</t>
        </is>
      </c>
      <c r="B199" s="13" t="inlineStr">
        <is>
          <t>TP-35</t>
        </is>
      </c>
      <c r="C199" s="12" t="inlineStr">
        <is>
          <t>Virginia's Medicaid agency urged CMS not to default payment limits to state plan rates for services without a Medicare equivalent</t>
        </is>
      </c>
      <c r="D199" s="12" t="inlineStr">
        <is>
          <t>third-party position [E]</t>
        </is>
      </c>
      <c r="E199" s="12" t="inlineStr">
        <is>
          <t>Virginia Department of Medical Assistance Services (state Medicaid agency), comment on CMS-2449-P</t>
        </is>
      </c>
      <c r="F199" s="12" t="inlineStr">
        <is>
          <t>Comment CMS-2026-1916-0755, p. 3; note sec. 8</t>
        </is>
      </c>
      <c r="G199" s="12" t="inlineStr">
        <is>
          <t>Note sec. 8</t>
        </is>
      </c>
      <c r="H199" s="12" t="inlineStr">
        <is>
          <t>A state agency's request on the cap default</t>
        </is>
      </c>
      <c r="I199" s="12" t="inlineStr">
        <is>
          <t>one state</t>
        </is>
      </c>
      <c r="J199" s="12" t="inlineStr">
        <is>
          <t>comment period closed July 21, 2026</t>
        </is>
      </c>
      <c r="K199" s="12" t="inlineStr">
        <is>
          <t>n/a</t>
        </is>
      </c>
      <c r="L199" s="12" t="inlineStr">
        <is>
          <t>not scenario-dependent</t>
        </is>
      </c>
      <c r="M199"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199" s="12" t="inlineStr">
        <is>
          <t>verified — upgraded from single-source: re-checked October 13, 2026: comment CMS-2026-1916-0755 (Virginia Department of Medical Assistance Services), p. 3 of 5, matches.</t>
        </is>
      </c>
    </row>
    <row r="200" ht="95.25" customHeight="1" s="10">
      <c r="A200" s="12" t="inlineStr">
        <is>
          <t>4. Third-party figures</t>
        </is>
      </c>
      <c r="B200" s="13" t="inlineStr">
        <is>
          <t>TP-36</t>
        </is>
      </c>
      <c r="C200" s="12" t="inlineStr">
        <is>
          <t>A group supporting the provider tax rule likewise carries ASPE's statute-level estimates into that rule's record</t>
        </is>
      </c>
      <c r="D200" s="12" t="inlineStr">
        <is>
          <t>third-party position [E]</t>
        </is>
      </c>
      <c r="E200" s="12" t="inlineStr">
        <is>
          <t>Comment on CMS-2452-P</t>
        </is>
      </c>
      <c r="F200" s="12" t="inlineStr">
        <is>
          <t>Comment CMS-2026-2476-0130, p. 2; note App. F ('Draft note, how commenters cite CBO')</t>
        </is>
      </c>
      <c r="G200" s="12" t="inlineStr">
        <is>
          <t>Note App. F</t>
        </is>
      </c>
      <c r="H200" s="12" t="inlineStr">
        <is>
          <t>A commenter's use of ASPE's estimates</t>
        </is>
      </c>
      <c r="I200" s="12" t="inlineStr">
        <is>
          <t>provider tax rule docket</t>
        </is>
      </c>
      <c r="J200" s="12" t="inlineStr">
        <is>
          <t>snapshot October 7, 2026</t>
        </is>
      </c>
      <c r="K200" s="12" t="inlineStr">
        <is>
          <t>not stated</t>
        </is>
      </c>
      <c r="L200" s="12" t="inlineStr">
        <is>
          <t>not scenario-dependent</t>
        </is>
      </c>
      <c r="M200"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0" s="12" t="inlineStr">
        <is>
          <t>verified — upgraded from single-source: re-checked October 13, 2026: comment CMS-2026-2476-0130 (Paragon Health Institute), which supports the rule, cites ASPE's August 12, 2026 estimates at p. 2.</t>
        </is>
      </c>
    </row>
    <row r="201" ht="84.75" customHeight="1" s="10">
      <c r="A201" s="12" t="inlineStr">
        <is>
          <t>4. Third-party figures</t>
        </is>
      </c>
      <c r="B201" s="13" t="inlineStr">
        <is>
          <t>TP-37</t>
        </is>
      </c>
      <c r="C201"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D201" s="12" t="inlineStr">
        <is>
          <t>third-party position [E]</t>
        </is>
      </c>
      <c r="E201" s="12" t="inlineStr">
        <is>
          <t>Comments on CMS-2449-P</t>
        </is>
      </c>
      <c r="F201" s="12" t="inlineStr">
        <is>
          <t>Comments CMS-2026-1916-0928, p. 11; -0923, p. 3; templates including -0369, -0476, -0808, -0437, -0424 and -0787; note App. F ('Draft note, who nets provider taxes')</t>
        </is>
      </c>
      <c r="G201" s="12" t="inlineStr">
        <is>
          <t>Note App. F</t>
        </is>
      </c>
      <c r="H201" s="12" t="inlineStr">
        <is>
          <t>Commenters asking for tax-netted cap-test rates</t>
        </is>
      </c>
      <c r="I201" s="12" t="inlineStr">
        <is>
          <t>SDP rule docket</t>
        </is>
      </c>
      <c r="J201" s="12" t="inlineStr">
        <is>
          <t>snapshot October 7, 2026</t>
        </is>
      </c>
      <c r="K201" s="12" t="inlineStr">
        <is>
          <t>n/a</t>
        </is>
      </c>
      <c r="L201" s="12" t="inlineStr">
        <is>
          <t>not scenario-dependent</t>
        </is>
      </c>
      <c r="M201"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t>
        </is>
      </c>
      <c r="N201"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2" ht="84.75" customHeight="1" s="10">
      <c r="A202" s="12" t="inlineStr">
        <is>
          <t>4. Third-party figures</t>
        </is>
      </c>
      <c r="B202" s="13" t="inlineStr">
        <is>
          <t>TP-38</t>
        </is>
      </c>
      <c r="C202"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2" s="12" t="inlineStr">
        <is>
          <t>derived arithmetic - interpretive [I]/[E]</t>
        </is>
      </c>
      <c r="E202" s="12" t="inlineStr">
        <is>
          <t>[FIRM]; CMS-2452-P</t>
        </is>
      </c>
      <c r="F202" s="12" t="inlineStr">
        <is>
          <t>Note App. F ('Draft note, who nets provider taxes'); sec. 7 step 1; CE-36</t>
        </is>
      </c>
      <c r="G202" s="12" t="inlineStr">
        <is>
          <t>Note App. F</t>
        </is>
      </c>
      <c r="H202" s="12" t="inlineStr">
        <is>
          <t>Two different uses of 'net of provider taxes'</t>
        </is>
      </c>
      <c r="I202" s="12" t="inlineStr">
        <is>
          <t>SDP rate test; provider aggregate</t>
        </is>
      </c>
      <c r="J202" s="12" t="inlineStr">
        <is>
          <t>n/a</t>
        </is>
      </c>
      <c r="K202" s="12" t="inlineStr">
        <is>
          <t>n/a</t>
        </is>
      </c>
      <c r="L202" s="12" t="inlineStr">
        <is>
          <t>not scenario-dependent</t>
        </is>
      </c>
      <c r="M202" s="12" t="inlineStr">
        <is>
          <t>The CMS limb is the net construction of Table 12 (CE-36). The distinction is v17's [I] reading; it keeps TP-21 and TP-37 from being read as support for a net-of-tax provider loss. Related: TP-17 (Texas Hospital Association paired figures).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202" s="12" t="inlineStr">
        <is>
          <t>verified as inference — re-checked October 13, 2026, second pass: THA's paired gross and net figures (2025) match; the cap-test reading stays [I].</t>
        </is>
      </c>
    </row>
    <row r="203" ht="53.25" customHeight="1" s="10">
      <c r="A203" s="12" t="inlineStr">
        <is>
          <t>4. Third-party figures</t>
        </is>
      </c>
      <c r="B203" s="13" t="inlineStr">
        <is>
          <t>TP-39</t>
        </is>
      </c>
      <c r="C203"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03" s="12" t="inlineStr">
        <is>
          <t>contextual [E]</t>
        </is>
      </c>
      <c r="E203" s="12" t="inlineStr">
        <is>
          <t>Texas Health and Human Services Commission, CHIRP preprint questions (Round 4)</t>
        </is>
      </c>
      <c r="F203" s="12" t="inlineStr">
        <is>
          <t>Texas HHSC, Round 4, p. 17 of 19 (same text on pp. 14 and 16); note App. I ('Draft note, a state preprint')</t>
        </is>
      </c>
      <c r="G203" s="12" t="inlineStr">
        <is>
          <t>Note App. I</t>
        </is>
      </c>
      <c r="H203" s="12" t="inlineStr">
        <is>
          <t>What CMS asked a state to resolve before approving an SDP preprint</t>
        </is>
      </c>
      <c r="I203" s="12" t="inlineStr">
        <is>
          <t>one state</t>
        </is>
      </c>
      <c r="J203" s="12" t="inlineStr">
        <is>
          <t>September 3, 2026</t>
        </is>
      </c>
      <c r="K203" s="12" t="inlineStr">
        <is>
          <t>n/a</t>
        </is>
      </c>
      <c r="L203" s="12" t="inlineStr">
        <is>
          <t>not scenario-dependent</t>
        </is>
      </c>
      <c r="M203" s="12" t="inlineStr">
        <is>
          <t>Verification summary (F-024): Texas HHSC PDF read, 19 pages; CMS lists two issues that must be resolved before approval; 'withhold' is Texas's own word (p. 18) and is not used. Distinct from RM-25's reference case (the state is not named there).</t>
        </is>
      </c>
      <c r="N203" s="12" t="inlineStr">
        <is>
          <t>verified — F-024 (Texas HHSC document)</t>
        </is>
      </c>
    </row>
    <row r="204" ht="95.25" customHeight="1" s="10">
      <c r="A204" s="12" t="inlineStr">
        <is>
          <t>4. Third-party figures</t>
        </is>
      </c>
      <c r="B204" s="13" t="inlineStr">
        <is>
          <t>TP-40</t>
        </is>
      </c>
      <c r="C204" s="12" t="inlineStr">
        <is>
          <t>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is>
      </c>
      <c r="D204" s="12" t="inlineStr">
        <is>
          <t>third-party position [E]</t>
        </is>
      </c>
      <c r="E204" s="12" t="inlineStr">
        <is>
          <t>Comments on CMS-2449-P and CMS-2452-P</t>
        </is>
      </c>
      <c r="F204" s="12" t="inlineStr">
        <is>
          <t>Comment CMS-2026-1916-0407, p. 1; note App. I ('Draft note, the legal record')</t>
        </is>
      </c>
      <c r="G204" s="12" t="inlineStr">
        <is>
          <t>Note App. I</t>
        </is>
      </c>
      <c r="H204" s="12" t="inlineStr">
        <is>
          <t>Keyword counts of comments citing Loper Bright</t>
        </is>
      </c>
      <c r="I204" s="12" t="inlineStr">
        <is>
          <t>two dockets</t>
        </is>
      </c>
      <c r="J204" s="12" t="inlineStr">
        <is>
          <t>snapshot October 7, 2026</t>
        </is>
      </c>
      <c r="K204" s="12" t="inlineStr">
        <is>
          <t>n/a</t>
        </is>
      </c>
      <c r="L204" s="12" t="inlineStr">
        <is>
          <t>not scenario-dependent</t>
        </is>
      </c>
      <c r="M204"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t>
        </is>
      </c>
      <c r="N204" s="12" t="inlineStr">
        <is>
          <t>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row>
    <row r="205" ht="95.25" customHeight="1" s="10">
      <c r="A205" s="12" t="inlineStr">
        <is>
          <t>5. State exposure</t>
        </is>
      </c>
      <c r="B205" s="13" t="inlineStr">
        <is>
          <t>SE-01</t>
        </is>
      </c>
      <c r="C205" s="12" t="inlineStr">
        <is>
          <t>KFF identifies 37 states, including DC, with hospital SDPs likely to exceed the new caps</t>
        </is>
      </c>
      <c r="D205" s="12" t="inlineStr">
        <is>
          <t>third-party estimate [E]</t>
        </is>
      </c>
      <c r="E205" s="12" t="inlineStr">
        <is>
          <t>KFF</t>
        </is>
      </c>
      <c r="F205" s="12" t="inlineStr">
        <is>
          <t>Issue brief, Aug 14, 2026; note sec. 6 (first bullet)</t>
        </is>
      </c>
      <c r="G205" s="12" t="inlineStr">
        <is>
          <t>Note sec. 6. KFF: "At least 37 states have Medicaid state directed payments for hospital services that could be reduced by the 2025 reconciliation law limits"</t>
        </is>
      </c>
      <c r="H205" s="12" t="inlineStr">
        <is>
          <t>Count of states with affected hospital SDPs</t>
        </is>
      </c>
      <c r="I205" s="12" t="inlineStr">
        <is>
          <t>state count</t>
        </is>
      </c>
      <c r="J205" s="12" t="inlineStr">
        <is>
          <t>as of Aug 2026</t>
        </is>
      </c>
      <c r="K205" s="12" t="inlineStr">
        <is>
          <t>n/a</t>
        </is>
      </c>
      <c r="L205" s="12" t="inlineStr">
        <is>
          <t>not scenario-dependent</t>
        </is>
      </c>
      <c r="M205"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 VERIFIED October 13, 2026, second pass (verification_v4_log.md): KFF, Aug 14, 2026 brief (https://www.kff.org/medicaid/at-least-37-states-have-medicaid-state-directed-payments-for-hospital-services-that-could-be-reduced-by-the-2025-reconciliation-law-limits/), downloaded and matched by script: 'At least 37 states have Medicaid state directed payments for hospital services that could be reduced …'; 'SDPs with payments for hospital services in 37 states are likely affected by the limits'; DC is among the states (100% share in Louisiana and DC).</t>
        </is>
      </c>
      <c r="N205" s="12" t="inlineStr">
        <is>
          <t>verified — re-checked October 13, 2026, second pass: KFF brief matches (at least 37 states; hospital SDPs in 37 states 'likely affected by the limits'; DC counted as a state).</t>
        </is>
      </c>
    </row>
    <row r="206" ht="137.25" customHeight="1" s="10">
      <c r="A206" s="12" t="inlineStr">
        <is>
          <t>5. State exposure</t>
        </is>
      </c>
      <c r="B206" s="13" t="inlineStr">
        <is>
          <t>SE-02</t>
        </is>
      </c>
      <c r="C206" s="12" t="inlineStr">
        <is>
          <t>About $60 billion of one year's federal hospital SDP spending is above the caps, excluding Minnesota and Missouri (no estimate), out of about $78 billion in federal hospital SDP spending and about $93 billion in all federal SDP spending</t>
        </is>
      </c>
      <c r="D206" s="12" t="inlineStr">
        <is>
          <t>third-party estimate [E]</t>
        </is>
      </c>
      <c r="E206" s="12" t="inlineStr">
        <is>
          <t>KFF</t>
        </is>
      </c>
      <c r="F206" s="12" t="inlineStr">
        <is>
          <t>Issue brief, Aug 14, 2026; note sec. 6 (second bullet)</t>
        </is>
      </c>
      <c r="G206" s="12" t="inlineStr">
        <is>
          <t>Note sec. 6</t>
        </is>
      </c>
      <c r="H206" s="12" t="inlineStr">
        <is>
          <t>Federal spending above the statutory limits</t>
        </is>
      </c>
      <c r="I206" s="12" t="inlineStr">
        <is>
          <t>federal only, hospital only; Minnesota and Missouri excluded (no estimate)</t>
        </is>
      </c>
      <c r="J206" s="12" t="inlineStr">
        <is>
          <t>one year, FFY2025 basis</t>
        </is>
      </c>
      <c r="K206" s="12" t="inlineStr">
        <is>
          <t>nominal (unstated)</t>
        </is>
      </c>
      <c r="L206" s="12" t="inlineStr">
        <is>
          <t>not scenario-dependent</t>
        </is>
      </c>
      <c r="M206"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 VERIFIED October 13, 2026, second pass (verification_v4_log.md): KFF, Aug 14, 2026 brief (https://www.kff.org/medicaid/at-least-37-states-have-medicaid-state-directed-payments-for-hospital-services-that-could-be-reduced-by-the-2025-reconciliation-law-limits/) and KFF's June 15, 2026 companion brief, matched by script. 60/0.77 = 77.9 and 60/0.64 = 93.8, consistent with the companion brief's $78.0 billion and $93 billion.</t>
        </is>
      </c>
      <c r="N206" s="12" t="inlineStr">
        <is>
          <t>verified — re-checked October 13, 2026, second pass: KFF matches: $60 billion (one 12-month period, Minnesota and Missouri excluded) is 64% of federal SDP spending and 77% of federal hospital SDP spending; KFF's June 15, 2026 brief gives $93 billion and $78.0 billion.</t>
        </is>
      </c>
    </row>
    <row r="207" ht="84.75" customHeight="1" s="10">
      <c r="A207" s="12" t="inlineStr">
        <is>
          <t>5. State exposure</t>
        </is>
      </c>
      <c r="B207" s="13" t="inlineStr">
        <is>
          <t>SE-03</t>
        </is>
      </c>
      <c r="C207" s="12" t="inlineStr">
        <is>
          <t>The share above limits ranges from 9% in New Hampshire to 100% in Louisiana and DC, with 27 states at 70% or above</t>
        </is>
      </c>
      <c r="D207" s="12" t="inlineStr">
        <is>
          <t>third-party estimate [E]</t>
        </is>
      </c>
      <c r="E207" s="12" t="inlineStr">
        <is>
          <t>KFF</t>
        </is>
      </c>
      <c r="F207" s="12" t="inlineStr">
        <is>
          <t>Issue brief, Aug 14, 2026; note App. H ('Draft note, share above the caps')</t>
        </is>
      </c>
      <c r="G207" s="12" t="inlineStr">
        <is>
          <t>Note App. H</t>
        </is>
      </c>
      <c r="H207" s="12" t="inlineStr">
        <is>
          <t>Share of federal hospital SDP spending above the limits</t>
        </is>
      </c>
      <c r="I207" s="12" t="inlineStr">
        <is>
          <t>hospital only</t>
        </is>
      </c>
      <c r="J207" s="12" t="inlineStr">
        <is>
          <t>FFY2025</t>
        </is>
      </c>
      <c r="K207" s="12" t="inlineStr">
        <is>
          <t>share, not dollars</t>
        </is>
      </c>
      <c r="L207" s="12" t="inlineStr">
        <is>
          <t>not scenario-dependent</t>
        </is>
      </c>
      <c r="M207"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 VERIFIED October 13, 2026, second pass (verification_v4_log.md): KFF, Aug 14, 2026 brief (https://www.kff.org/medicaid/at-least-37-states-have-medicaid-state-directed-payments-for-hospital-services-that-could-be-reduced-by-the-2025-reconciliation-law-limits/), matched by script.</t>
        </is>
      </c>
      <c r="N207" s="12" t="inlineStr">
        <is>
          <t>verified — re-checked October 13, 2026, second pass: KFF brief matches (9% in New Hampshire to 100% in Louisiana and DC; at least 70% in 27 states).</t>
        </is>
      </c>
    </row>
    <row r="208" ht="95.25" customHeight="1" s="10">
      <c r="A208" s="12" t="inlineStr">
        <is>
          <t>5. State exposure</t>
        </is>
      </c>
      <c r="B208" s="13" t="inlineStr">
        <is>
          <t>SE-04</t>
        </is>
      </c>
      <c r="C208" s="12" t="inlineStr">
        <is>
          <t>31 expansion states have at least one non-exempt tax above 3.5%: 28 with a hospital tax, 10 ambulance, 6 MCO</t>
        </is>
      </c>
      <c r="D208" s="12" t="inlineStr">
        <is>
          <t>third-party estimate [E]</t>
        </is>
      </c>
      <c r="E208" s="12" t="inlineStr">
        <is>
          <t>KFF provider tax file</t>
        </is>
      </c>
      <c r="F208" s="12" t="inlineStr">
        <is>
          <t>KFF provider tax file, Aug 2026; note sec. 6 (third bullet)</t>
        </is>
      </c>
      <c r="G208" s="12" t="inlineStr">
        <is>
          <t>Note sec. 6</t>
        </is>
      </c>
      <c r="H208" s="12" t="inlineStr">
        <is>
          <t>Count of states by taxed class</t>
        </is>
      </c>
      <c r="I208" s="12" t="inlineStr">
        <is>
          <t>expansion states only</t>
        </is>
      </c>
      <c r="J208" s="12" t="inlineStr">
        <is>
          <t>2026</t>
        </is>
      </c>
      <c r="K208" s="12" t="inlineStr">
        <is>
          <t>n/a</t>
        </is>
      </c>
      <c r="L208" s="12" t="inlineStr">
        <is>
          <t>not scenario-dependent</t>
        </is>
      </c>
      <c r="M208"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 VERIFIED October 13, 2026, second pass (verification_v4_log.md): KFF, August 20, 2026 (https://www.kff.org/medicaid/5-questions-and-answers-about-medicaid-and-provider-taxes/; the old '5-key-facts' URL redirects there), Figure 2 note, matched by script. The ledger's 'KFF provider tax file, Aug 2026' is this brief.</t>
        </is>
      </c>
      <c r="N208" s="12" t="inlineStr">
        <is>
          <t>verified with caveat — re-checked October 13, 2026, second pass: KFF's August 20, 2026 provider-tax brief matches (31 expansion states; 28 hospital, 6 MCO, 10 ambulance).</t>
        </is>
      </c>
    </row>
    <row r="209" ht="137.25" customHeight="1" s="10">
      <c r="A209" s="12" t="inlineStr">
        <is>
          <t>5. State exposure</t>
        </is>
      </c>
      <c r="B209" s="13" t="inlineStr">
        <is>
          <t>SE-05</t>
        </is>
      </c>
      <c r="C209"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09" s="12" t="inlineStr">
        <is>
          <t>state classification [I]</t>
        </is>
      </c>
      <c r="E209" s="12" t="inlineStr">
        <is>
          <t>[FIRM] construction from KFF</t>
        </is>
      </c>
      <c r="F209" s="12" t="inlineStr">
        <is>
          <t>Note sec. 6 (group table and source line)</t>
        </is>
      </c>
      <c r="G209" s="12" t="inlineStr">
        <is>
          <t>Note sec. 6, group table</t>
        </is>
      </c>
      <c r="H209" s="12" t="inlineStr">
        <is>
          <t>Which mechanisms reach the state</t>
        </is>
      </c>
      <c r="I209" s="12" t="inlineStr">
        <is>
          <t>federal only, hospital only</t>
        </is>
      </c>
      <c r="J209" s="12" t="inlineStr">
        <is>
          <t>FFY2025 basis</t>
        </is>
      </c>
      <c r="K209" s="12" t="inlineStr">
        <is>
          <t>nominal</t>
        </is>
      </c>
      <c r="L209" s="12" t="inlineStr">
        <is>
          <t>not scenario-dependent</t>
        </is>
      </c>
      <c r="M209"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28 expansion states have a hospital tax above 3.5% in the appendix table; CO, CT, IN and VT have no hospital SDPs on the map, leaving 24. Retrieval: each chart's base URL (https://datawrapper.dwcdn.net/&lt;id&gt;/) answers with a meta-refresh to its current version; the versioned page and its dataset.csv were downloaded with curl on October 14, 2026 and matched by script.</t>
        </is>
      </c>
      <c r="N209" s="12" t="inlineStr">
        <is>
          <t>verified — re-checked October 14, 2026, third pass: KFF's chart data match: 24 expansion states with hospital SDPs likely affected and a hospital tax above 3.5% (Minnesota and Missouri included, no dollar estimate), $45.43 billion above the caps.</t>
        </is>
      </c>
    </row>
    <row r="210" ht="84.75" customHeight="1" s="10">
      <c r="A210" s="12" t="inlineStr">
        <is>
          <t>5. State exposure</t>
        </is>
      </c>
      <c r="B210" s="13" t="inlineStr">
        <is>
          <t>SE-06</t>
        </is>
      </c>
      <c r="C210" s="12" t="inlineStr">
        <is>
          <t>Group B: Washington and West Virginia; about $2.0B; the 100% cap and phase-down apply, and the lower threshold reaches ambulance or other taxes, not hospital taxes</t>
        </is>
      </c>
      <c r="D210" s="12" t="inlineStr">
        <is>
          <t>state classification [I]</t>
        </is>
      </c>
      <c r="E210" s="12" t="inlineStr">
        <is>
          <t>[FIRM] from KFF</t>
        </is>
      </c>
      <c r="F210" s="12" t="inlineStr">
        <is>
          <t>Note sec. 6 (group table)</t>
        </is>
      </c>
      <c r="G210" s="12" t="inlineStr">
        <is>
          <t>Note sec. 6, group table</t>
        </is>
      </c>
      <c r="H210" s="12" t="inlineStr">
        <is>
          <t>SDP cap plus a lower threshold on non-hospital taxes</t>
        </is>
      </c>
      <c r="I210" s="12" t="inlineStr">
        <is>
          <t>federal, hospital only</t>
        </is>
      </c>
      <c r="J210" s="12" t="inlineStr">
        <is>
          <t>FFY2025</t>
        </is>
      </c>
      <c r="K210" s="12" t="inlineStr">
        <is>
          <t>nominal</t>
        </is>
      </c>
      <c r="L210" s="12" t="inlineStr">
        <is>
          <t>not scenario-dependent</t>
        </is>
      </c>
      <c r="M210"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Washington $1,391,768,801 and West Virginia $567,162,829 above the limits. Retrieval: each chart's base URL (https://datawrapper.dwcdn.net/&lt;id&gt;/) answers with a meta-refresh to its current version; the versioned page and its dataset.csv were downloaded with curl on October 14, 2026 and matched by script.</t>
        </is>
      </c>
      <c r="N210" s="12" t="inlineStr">
        <is>
          <t>verified — re-checked October 14, 2026, third pass: KFF's chart data match: Washington and West Virginia have hospital SDPs likely affected, $1.96 billion above the caps, and only ambulance or other taxes above 3.5%.</t>
        </is>
      </c>
    </row>
    <row r="211" ht="84.75" customHeight="1" s="10">
      <c r="A211" s="12" t="inlineStr">
        <is>
          <t>5. State exposure</t>
        </is>
      </c>
      <c r="B211" s="13" t="inlineStr">
        <is>
          <t>SE-07</t>
        </is>
      </c>
      <c r="C211" s="12" t="inlineStr">
        <is>
          <t>Group C: DC, Delaware and Hawaii; about $0.8B; the 100% cap and phase-down apply; no tax above 3.5% identified other than nursing or intermediate care facility taxes</t>
        </is>
      </c>
      <c r="D211" s="12" t="inlineStr">
        <is>
          <t>state classification [I]</t>
        </is>
      </c>
      <c r="E211" s="12" t="inlineStr">
        <is>
          <t>[FIRM] from KFF</t>
        </is>
      </c>
      <c r="F211" s="12" t="inlineStr">
        <is>
          <t>Note sec. 6 (group table)</t>
        </is>
      </c>
      <c r="G211" s="12" t="inlineStr">
        <is>
          <t>Note sec. 6, group table</t>
        </is>
      </c>
      <c r="H211" s="12" t="inlineStr">
        <is>
          <t>SDP cap only; no non-exempt tax above 3.5% identified</t>
        </is>
      </c>
      <c r="I211" s="12" t="inlineStr">
        <is>
          <t>federal, hospital only</t>
        </is>
      </c>
      <c r="J211" s="12" t="inlineStr">
        <is>
          <t>FFY2025</t>
        </is>
      </c>
      <c r="K211" s="12" t="inlineStr">
        <is>
          <t>nominal</t>
        </is>
      </c>
      <c r="L211" s="12" t="inlineStr">
        <is>
          <t>not scenario-dependent</t>
        </is>
      </c>
      <c r="M211"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DC $376,029,678, Delaware $175,574,794, Hawaii $247,941,877. The appendix table's note says nursing and intermediate care facility taxes are exempt, which checks v17's qualifier. Retrieval: each chart's base URL (https://datawrapper.dwcdn.net/&lt;id&gt;/) answers with a meta-refresh to its current version; the versioned page and its dataset.csv were downloaded with curl on October 14, 2026 and matched by script.</t>
        </is>
      </c>
      <c r="N211" s="12" t="inlineStr">
        <is>
          <t>verified — re-checked October 14, 2026, third pass: KFF's chart data match: DC, Delaware and Hawaii have hospital SDPs likely affected, $0.80 billion above the caps, and no non-exempt tax above 3.5% (nursing and ICF taxes are exempt).</t>
        </is>
      </c>
    </row>
    <row r="212" ht="95.25" customHeight="1" s="10">
      <c r="A212" s="12" t="inlineStr">
        <is>
          <t>5. State exposure</t>
        </is>
      </c>
      <c r="B212" s="13" t="inlineStr">
        <is>
          <t>SE-08</t>
        </is>
      </c>
      <c r="C212" s="12" t="inlineStr">
        <is>
          <t>Group D: 8 non-expansion states with SDPs above the caps (FL, GA, KS, MS, SC, TN, TX, WI); about $11.9B; reached by the 110% cap, the phase-down and the provider tax freeze, not the lower threshold</t>
        </is>
      </c>
      <c r="D212" s="12" t="inlineStr">
        <is>
          <t>state classification [I]</t>
        </is>
      </c>
      <c r="E212" s="12" t="inlineStr">
        <is>
          <t>[FIRM] from KFF</t>
        </is>
      </c>
      <c r="F212" s="12" t="inlineStr">
        <is>
          <t>Note sec. 6 (group table)</t>
        </is>
      </c>
      <c r="G212" s="12" t="inlineStr">
        <is>
          <t>Note sec. 6, group table</t>
        </is>
      </c>
      <c r="H212" s="12" t="inlineStr">
        <is>
          <t>110% cap, phase-down and freeze reach them; the lower threshold does not</t>
        </is>
      </c>
      <c r="I212" s="12" t="inlineStr">
        <is>
          <t>federal, hospital only</t>
        </is>
      </c>
      <c r="J212" s="12" t="inlineStr">
        <is>
          <t>FFY2025</t>
        </is>
      </c>
      <c r="K212" s="12" t="inlineStr">
        <is>
          <t>nominal</t>
        </is>
      </c>
      <c r="L212" s="12" t="inlineStr">
        <is>
          <t>not scenario-dependent</t>
        </is>
      </c>
      <c r="M212"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The appendix table marks non-expansion states 'N/A, non-expansion state'. Retrieval: each chart's base URL (https://datawrapper.dwcdn.net/&lt;id&gt;/) answers with a meta-refresh to its current version; the versioned page and its dataset.csv were downloaded with curl on October 14, 2026 and matched by script.</t>
        </is>
      </c>
      <c r="N212" s="12" t="inlineStr">
        <is>
          <t>verified — re-checked October 14, 2026, third pass: KFF's chart data match: FL, GA, KS, MS, SC, TN, TX and WI are the eight non-expansion states with hospital SDPs likely affected, $11.91 billion above the caps; Alabama and Wyoming have no managed care.</t>
        </is>
      </c>
    </row>
    <row r="213" ht="84.75" customHeight="1" s="10">
      <c r="A213" s="12" t="inlineStr">
        <is>
          <t>5. State exposure</t>
        </is>
      </c>
      <c r="B213" s="13" t="inlineStr">
        <is>
          <t>SE-09</t>
        </is>
      </c>
      <c r="C213" s="12" t="inlineStr">
        <is>
          <t>Group E: 14 states with no identified hospital SDPs above the caps; $0 of federal hospital SDPs above the caps; the provider tax freeze reaches them where a tax exists, and the lower threshold reaches Colorado, Connecticut, Indiana and Vermont</t>
        </is>
      </c>
      <c r="D213" s="12" t="inlineStr">
        <is>
          <t>state classification [I]</t>
        </is>
      </c>
      <c r="E213" s="12" t="inlineStr">
        <is>
          <t>[FIRM] from KFF</t>
        </is>
      </c>
      <c r="F213" s="12" t="inlineStr">
        <is>
          <t>Note sec. 6 (group table)</t>
        </is>
      </c>
      <c r="G213" s="12" t="inlineStr">
        <is>
          <t>Note sec. 6, group table</t>
        </is>
      </c>
      <c r="H213" s="12" t="inlineStr">
        <is>
          <t>Absence of one mechanism (SDP exposure), not of both</t>
        </is>
      </c>
      <c r="I213" s="12" t="inlineStr">
        <is>
          <t>state count</t>
        </is>
      </c>
      <c r="J213" s="12" t="inlineStr">
        <is>
          <t>FFY2025</t>
        </is>
      </c>
      <c r="K213" s="12" t="inlineStr">
        <is>
          <t>n/a</t>
        </is>
      </c>
      <c r="L213" s="12" t="inlineStr">
        <is>
          <t>not scenario-dependent</t>
        </is>
      </c>
      <c r="M213"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 CORRECTED October 14, 2026, third pass (verification_v4_log.md): Second-pass correction (Colorado) stands. Remaining limbs checked against KFF's chart data: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The 14 Group E states are exactly AL, AK, AR, CO, CT, ID, IN, ME, MD, MT, ND, SD, VT, WY, with no dollars above the limits in Figure 4. New: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Retrieval: each chart's base URL (https://datawrapper.dwcdn.net/&lt;id&gt;/) answers with a meta-refresh to its current version; the versioned page and its dataset.csv were downloaded with curl on October 14, 2026 and matched by script.</t>
        </is>
      </c>
      <c r="N213" s="12" t="inlineStr">
        <is>
          <t>corrected — source says: “Colorado also has an SDP that is above new limits, but CMS did not post the preprint publicly until after July 20, 2026.” (KFF, Aug 14, 2026, Figure 1 note). v17 must change Sec. 6 (see verification_v4_log.md). Base status was verified; re-checked October 14, 2026, third pass. Also, KFF's provider-tax table says “Arkansas Yes Ambulance (5.51%-6.0%)” (https://datawrapper.dwcdn.net/q3dXL/7/dataset.csv): the lower threshold reaches Arkansas too.</t>
        </is>
      </c>
    </row>
    <row r="214" ht="126.75" customHeight="1" s="10">
      <c r="A214" s="12" t="inlineStr">
        <is>
          <t>5. State exposure</t>
        </is>
      </c>
      <c r="B214" s="13" t="inlineStr">
        <is>
          <t>SE-10</t>
        </is>
      </c>
      <c r="C214" s="12" t="inlineStr">
        <is>
          <t>Group E is not exposure-free: the lower threshold reaches Colorado, Connecticut, Indiana and Vermont, whose hospital taxes exceed 3.5 percent</t>
        </is>
      </c>
      <c r="D214" s="12" t="inlineStr">
        <is>
          <t>state classification [I]</t>
        </is>
      </c>
      <c r="E214" s="12" t="inlineStr">
        <is>
          <t>KFF provider tax file</t>
        </is>
      </c>
      <c r="F214" s="12" t="inlineStr">
        <is>
          <t>Note sec. 6 (paragraph after the group table)</t>
        </is>
      </c>
      <c r="G214" s="12" t="inlineStr">
        <is>
          <t>Note sec. 6</t>
        </is>
      </c>
      <c r="H214" s="12" t="inlineStr">
        <is>
          <t>Mechanism reach despite the absence of an SDP</t>
        </is>
      </c>
      <c r="I214" s="12" t="inlineStr">
        <is>
          <t>expansion states</t>
        </is>
      </c>
      <c r="J214" s="12" t="inlineStr">
        <is>
          <t>prospective</t>
        </is>
      </c>
      <c r="K214" s="12" t="inlineStr">
        <is>
          <t>n/a</t>
        </is>
      </c>
      <c r="L214" s="12" t="inlineStr">
        <is>
          <t>not scenario-dependent</t>
        </is>
      </c>
      <c r="M214"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 CORRECTED October 14, 2026, third pass (verification_v4_log.md): The four named states match the appendix table: Colorado, Connecticut and Vermont 'Hospital (5.51%-6.0%)', Indiana 'Hospital (3.51%-5.5%)', all expansion states without hospital SDPs on the Figure 1 map. But the list is incomplete: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Retrieval: each chart's base URL (https://datawrapper.dwcdn.net/&lt;id&gt;/) answers with a meta-refresh to its current version; the versioned page and its dataset.csv were downloaded with curl on October 14, 2026 and matched by script.</t>
        </is>
      </c>
      <c r="N214" s="12" t="inlineStr">
        <is>
          <t>corrected — source says: “Arkansas Yes Ambulance (5.51%-6.0%)” (KFF, Aug 20, 2026, provider-tax appendix table (https://datawrapper.dwcdn.net/q3dXL/7/dataset.csv)). v17 must change Sec. 6 (see verification_v4_log.md). Base status was verified; re-checked October 14, 2026, third pass.</t>
        </is>
      </c>
    </row>
    <row r="215" ht="105.75" customHeight="1" s="10">
      <c r="A215" s="12" t="inlineStr">
        <is>
          <t>5. State exposure</t>
        </is>
      </c>
      <c r="B215" s="13" t="inlineStr">
        <is>
          <t>SE-11</t>
        </is>
      </c>
      <c r="C215" s="12" t="inlineStr">
        <is>
          <t>KFF did not assess non-expansion states' provider taxes, which the lower threshold does not reach, and KFF's lack of an assessment is not evidence that no tax in those states exceeds 3.5 percent</t>
        </is>
      </c>
      <c r="D215" s="12" t="inlineStr">
        <is>
          <t>state classification [E]/[I]</t>
        </is>
      </c>
      <c r="E215" s="12" t="inlineStr">
        <is>
          <t>KFF methodology</t>
        </is>
      </c>
      <c r="F215" s="12" t="inlineStr">
        <is>
          <t>Note sec. 6 (Group D paragraph)</t>
        </is>
      </c>
      <c r="G215" s="12" t="inlineStr">
        <is>
          <t>Note sec. 6</t>
        </is>
      </c>
      <c r="H215" s="12" t="inlineStr">
        <is>
          <t>How a missing tax indicator should be read</t>
        </is>
      </c>
      <c r="I215" s="12" t="inlineStr">
        <is>
          <t>non-expansion states</t>
        </is>
      </c>
      <c r="J215" s="12" t="inlineStr">
        <is>
          <t>n/a</t>
        </is>
      </c>
      <c r="K215" s="12" t="inlineStr">
        <is>
          <t>n/a</t>
        </is>
      </c>
      <c r="L215" s="12" t="inlineStr">
        <is>
          <t>not scenario-dependent</t>
        </is>
      </c>
      <c r="M215"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 CORRECTED October 13, 2026, second pass (verification_v4_log.md): KFF, August 20, 2026 (https://www.kff.org/medicaid/5-questions-and-answers-about-medicaid-and-provider-taxes/), matched by script: Figure 2 reports provider taxes by size for all responding states (47 with hospital taxes), and its note limits the 3.5 percent count to expansion states and names three non-responding states. So KFF's survey did cover non-expansion states; what it did not do is count their taxes against 3.5 percent.</t>
        </is>
      </c>
      <c r="N215" s="12" t="inlineStr">
        <is>
          <t>corrected — source says: “FL, KS, and MS did not respond to the 2025 survey.” (KFF, Aug 20, 2026, Figure 2 note). v17 must change Sec. 6 (see verification_v4_log.md). Base status was verified.</t>
        </is>
      </c>
    </row>
    <row r="216" ht="84.75" customHeight="1" s="10">
      <c r="A216" s="12" t="inlineStr">
        <is>
          <t>5. State exposure</t>
        </is>
      </c>
      <c r="B216" s="13" t="inlineStr">
        <is>
          <t>SE-12</t>
        </is>
      </c>
      <c r="C216" s="12" t="inlineStr">
        <is>
          <t>Texas has $3.5 billion above the caps, and Tennessee, Georgia and South Carolina more than $1.6 billion each (KFF, August 2026)</t>
        </is>
      </c>
      <c r="D216" s="12" t="inlineStr">
        <is>
          <t>third-party estimate [E]</t>
        </is>
      </c>
      <c r="E216" s="12" t="inlineStr">
        <is>
          <t>KFF</t>
        </is>
      </c>
      <c r="F216" s="12" t="inlineStr">
        <is>
          <t>Issue brief, Aug 14, 2026; note App. H ('Draft note, Group D flags')</t>
        </is>
      </c>
      <c r="G216" s="12" t="inlineStr">
        <is>
          <t>Note App. H</t>
        </is>
      </c>
      <c r="H216" s="12" t="inlineStr">
        <is>
          <t>Dollars above limits</t>
        </is>
      </c>
      <c r="I216" s="12" t="inlineStr">
        <is>
          <t>federal, hospital only</t>
        </is>
      </c>
      <c r="J216" s="12" t="inlineStr">
        <is>
          <t>FFY2025</t>
        </is>
      </c>
      <c r="K216" s="12" t="inlineStr">
        <is>
          <t>nominal</t>
        </is>
      </c>
      <c r="L216" s="12" t="inlineStr">
        <is>
          <t>not scenario-dependent</t>
        </is>
      </c>
      <c r="M216"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 VERIFIED October 14, 2026, third pass (verification_v4_log.md): KFF Figure 4 data, matched by script; the brief's text gives 'Texas ($3.5 billion)'. Each of the three is above $1.6 billion. Retrieval: each chart's base URL (https://datawrapper.dwcdn.net/&lt;id&gt;/) answers with a meta-refresh to its current version; the versioned page and its dataset.csv were downloaded with curl on October 14, 2026 and matched by script.</t>
        </is>
      </c>
      <c r="N216" s="12" t="inlineStr">
        <is>
          <t>single-source — re-checked October 14, 2026, third pass: KFF's chart data match: Texas $3.48 billion; Georgia $2.17 billion, Tennessee $1.95 billion, South Carolina $1.65 billion above the limits.</t>
        </is>
      </c>
    </row>
    <row r="217" ht="84.75" customHeight="1" s="10">
      <c r="A217" s="12" t="inlineStr">
        <is>
          <t>5. State exposure</t>
        </is>
      </c>
      <c r="B217" s="13" t="inlineStr">
        <is>
          <t>SE-13</t>
        </is>
      </c>
      <c r="C217" s="12" t="inlineStr">
        <is>
          <t>All eight Group D states carry data quality flags: three INSUFFICIENT (FL, KS, MS) and five PARTIAL (GA, SC, TN, TX, WI)</t>
        </is>
      </c>
      <c r="D217" s="12" t="inlineStr">
        <is>
          <t>state classification [E]</t>
        </is>
      </c>
      <c r="E217" s="12" t="inlineStr">
        <is>
          <t>KFF file as processed</t>
        </is>
      </c>
      <c r="F217" s="12" t="inlineStr">
        <is>
          <t>Note App. H ('Draft note, Group D flags'); sec. 6 (Group D paragraph, 'all eight states carry KFF data-quality flags')</t>
        </is>
      </c>
      <c r="G217" s="12" t="inlineStr">
        <is>
          <t>Note App. H</t>
        </is>
      </c>
      <c r="H217" s="12" t="inlineStr">
        <is>
          <t>Data quality on the state record</t>
        </is>
      </c>
      <c r="I217" s="12" t="inlineStr">
        <is>
          <t>state level</t>
        </is>
      </c>
      <c r="J217" s="12" t="inlineStr">
        <is>
          <t>Aug 2026</t>
        </is>
      </c>
      <c r="K217" s="12" t="inlineStr">
        <is>
          <t>n/a</t>
        </is>
      </c>
      <c r="L217" s="12" t="inlineStr">
        <is>
          <t>not scenario-dependent</t>
        </is>
      </c>
      <c r="M217"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 CORRECTED October 14, 2026, third pass (verification_v4_log.md): KFF's brief and its chart data (Figure 1, Figure 4 and the provider-tax table, with their notes) carry no INSUFFICIENT or PARTIAL label for any state; those labels come from the analyst's C4 file. KFF's Methods name the states whose missing payment rates it imputed: state-specific rates for Georgia, Kentucky, Louisiana, New Mexico, Nevada, New York, Pennsylvania and Washington; national rates for Arizona, California, Hawaii, Illinois, Texas and Wisconsin. So among Group D only Georgia, Texas and Wisconsin have imputed rates. Separately, the August 20, 2026 provider-tax brief says FL, KS and MS did not respond to the 2025 survey (SE-11). Searched by script for 'insufficient', 'partial' and 'data quality' in the brief and the chart pages: only Datawrapper's page code and the Minnesota and Missouri note. Retrieval: each chart's base URL (https://datawrapper.dwcdn.net/&lt;id&gt;/) answers with a meta-refresh to its current version; the versioned page and its dataset.csv were downloaded with curl on October 14, 2026 and matched by script.</t>
        </is>
      </c>
      <c r="N217" s="12" t="inlineStr">
        <is>
          <t>corrected — source says: “For the remaining states, KFF had complete payment rate information from the preprints.” (KFF, Aug 14, 2026, Methods). v17 must change Sec. 6 and App. H (see verification_v4_log.md). Base status was verified; re-checked October 14, 2026, third pass.</t>
        </is>
      </c>
    </row>
    <row r="218" ht="137.25" customHeight="1" s="10">
      <c r="A218" s="12" t="inlineStr">
        <is>
          <t>5. State exposure</t>
        </is>
      </c>
      <c r="B218" s="13" t="inlineStr">
        <is>
          <t>SE-14</t>
        </is>
      </c>
      <c r="C218" s="12" t="inlineStr">
        <is>
          <t>Minnesota and Missouri belong in Group A but have no KFF estimate, so they are excluded from the $60 billion and the $45.4B</t>
        </is>
      </c>
      <c r="D218" s="12" t="inlineStr">
        <is>
          <t>third-party estimate + state classification [E]</t>
        </is>
      </c>
      <c r="E218" s="12" t="inlineStr">
        <is>
          <t>KFF</t>
        </is>
      </c>
      <c r="F218" s="12" t="inlineStr">
        <is>
          <t>Issue brief, Aug 14, 2026; note sec. 6 ('Excluding Minnesota and Missouri (no estimate)' and 'belong in Group A but have no KFF estimate')</t>
        </is>
      </c>
      <c r="G218" s="12" t="inlineStr">
        <is>
          <t>Note sec. 6</t>
        </is>
      </c>
      <c r="H218" s="12" t="inlineStr">
        <is>
          <t>A missing measurement, not a zero</t>
        </is>
      </c>
      <c r="I218" s="12" t="inlineStr">
        <is>
          <t>hospital only</t>
        </is>
      </c>
      <c r="J218" s="12" t="inlineStr">
        <is>
          <t>FFY2025</t>
        </is>
      </c>
      <c r="K218" s="12" t="inlineStr">
        <is>
          <t>n/a</t>
        </is>
      </c>
      <c r="L218" s="12" t="inlineStr">
        <is>
          <t>not scenario-dependent</t>
        </is>
      </c>
      <c r="M218"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 VERIFIED October 13, 2026, second pass (verification_v4_log.md): KFF, Aug 14, 2026 brief (https://www.kff.org/medicaid/at-least-37-states-have-medicaid-state-directed-payments-for-hospital-services-that-could-be-reduced-by-the-2025-reconciliation-law-limits/), matched by script.</t>
        </is>
      </c>
      <c r="N218" s="12" t="inlineStr">
        <is>
          <t>verified — re-checked October 13, 2026, second pass: KFF brief matches: Minnesota and Missouri are among the 37 but excluded from the dollar analysis for insufficient data; 'belong in Group A' stays THEIA Services' grouping (SE-17).</t>
        </is>
      </c>
    </row>
    <row r="219" ht="157.5" customHeight="1" s="10">
      <c r="A219" s="12" t="inlineStr">
        <is>
          <t>5. State exposure</t>
        </is>
      </c>
      <c r="B219" s="13" t="inlineStr">
        <is>
          <t>SE-15</t>
        </is>
      </c>
      <c r="C219" s="12" t="inlineStr">
        <is>
          <t>KFF imputes payment rate detail for $39.6B of the $78.0B in federal hospital SDP spending; 35 of 131 preprints lacked payment levels</t>
        </is>
      </c>
      <c r="D219" s="12" t="inlineStr">
        <is>
          <t>third-party estimate</t>
        </is>
      </c>
      <c r="E219" s="12" t="inlineStr">
        <is>
          <t>KFF</t>
        </is>
      </c>
      <c r="F219" s="12" t="inlineStr">
        <is>
          <t>Issue brief, Aug 14, 2026, Methods</t>
        </is>
      </c>
      <c r="G219" s="12" t="inlineStr">
        <is>
          <t>"Of the 131 preprints included in the hospital spending analysis (accounting for $78.0 billion in federal spending on hospital services), 35 did not include payment levels in Table 2 (accounting for $39.6 billion in federal spending on hospital services)."</t>
        </is>
      </c>
      <c r="H219" s="12" t="inlineStr">
        <is>
          <t>Share of analyzed spending carrying imputed rates</t>
        </is>
      </c>
      <c r="I219" s="12" t="inlineStr">
        <is>
          <t>federal, hospital only</t>
        </is>
      </c>
      <c r="J219" s="12" t="inlineStr">
        <is>
          <t>FFY2025</t>
        </is>
      </c>
      <c r="K219" s="12" t="inlineStr">
        <is>
          <t>nominal</t>
        </is>
      </c>
      <c r="L219" s="12" t="inlineStr">
        <is>
          <t>not scenario-dependent</t>
        </is>
      </c>
      <c r="M219"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19" s="12" t="inlineStr">
        <is>
          <t>SUPERSEDED — KFF imputation figures are no longer a note claim; no replacement row</t>
        </is>
      </c>
    </row>
    <row r="220" ht="178.5" customHeight="1" s="10">
      <c r="A220" s="12" t="inlineStr">
        <is>
          <t>5. State exposure</t>
        </is>
      </c>
      <c r="B220" s="13" t="inlineStr">
        <is>
          <t>SE-16</t>
        </is>
      </c>
      <c r="C220" s="12" t="inlineStr">
        <is>
          <t>KFF cautions that dollars above the caps do not show which states face the largest proportional effects, and finds that states with most SDP spending above the caps already have base rates at or near the caps, while low base rates leave more SDP spending under them</t>
        </is>
      </c>
      <c r="D220" s="12" t="inlineStr">
        <is>
          <t>third-party estimate [E]</t>
        </is>
      </c>
      <c r="E220" s="12" t="inlineStr">
        <is>
          <t>KFF</t>
        </is>
      </c>
      <c r="F220" s="12" t="inlineStr">
        <is>
          <t>Issue brief, Aug 14, 2026; note sec. 6 (paragraph after the bullets)</t>
        </is>
      </c>
      <c r="G220" s="12" t="inlineStr">
        <is>
          <t>Note sec. 6. KFF brief caveat (not re-read this cycle)</t>
        </is>
      </c>
      <c r="H220" s="12" t="inlineStr">
        <is>
          <t>Interpretive caveat on the dollar measure, and the direction of the base-rate relationship</t>
        </is>
      </c>
      <c r="I220" s="12" t="inlineStr">
        <is>
          <t>hospital only</t>
        </is>
      </c>
      <c r="J220" s="12" t="inlineStr">
        <is>
          <t>FFY2025</t>
        </is>
      </c>
      <c r="K220" s="12" t="inlineStr">
        <is>
          <t>n/a</t>
        </is>
      </c>
      <c r="L220" s="12" t="inlineStr">
        <is>
          <t>not scenario-dependent</t>
        </is>
      </c>
      <c r="M220"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 CORRECTED October 13, 2026, second pass (verification_v4_log.md): KFF, Aug 14, 2026 brief (https://www.kff.org/medicaid/at-least-37-states-have-medicaid-state-directed-payments-for-hospital-services-that-could-be-reduced-by-the-2025-reconciliation-law-limits/), matched by script. Base-rate limb matches: states with lower base rates have more SDP spending below the limits, and where most SDP spending exceeds the limits base payments are at or near them. First limb as SE-24.</t>
        </is>
      </c>
      <c r="N220" s="12" t="inlineStr">
        <is>
          <t>corrected — source says: “The dollar amount of SDP spending above new limits may not indicate which states could have the biggest proportional effects” (KFF, Aug 14, 2026). v17 must change Sec. 6 (see verification_v4_log.md). Base status was single-source — direction corrected to match v17; KFF brief not re-read.</t>
        </is>
      </c>
    </row>
    <row r="221" ht="95.25" customHeight="1" s="10">
      <c r="A221" s="12" t="inlineStr">
        <is>
          <t>5. State exposure</t>
        </is>
      </c>
      <c r="B221" s="13" t="inlineStr">
        <is>
          <t>SE-17</t>
        </is>
      </c>
      <c r="C221" s="12" t="inlineStr">
        <is>
          <t>The grouping is THEIA Services' construction from KFF's August 2026 state file and Medicaid expansion tracker, not KFF's classification</t>
        </is>
      </c>
      <c r="D221" s="12" t="inlineStr">
        <is>
          <t>contextual [I]</t>
        </is>
      </c>
      <c r="E221" s="12" t="inlineStr">
        <is>
          <t>THEIA Services</t>
        </is>
      </c>
      <c r="F221" s="12" t="inlineStr">
        <is>
          <t>Note sec. 6 (table source line)</t>
        </is>
      </c>
      <c r="G221" s="12" t="inlineStr">
        <is>
          <t>Note sec. 6: 'THEIA Services' grouping from KFF's August 2026 state file and Medicaid expansion tracker; KFF does not use these groups.'</t>
        </is>
      </c>
      <c r="H221" s="12" t="inlineStr">
        <is>
          <t>Authorship disclosure</t>
        </is>
      </c>
      <c r="I221" s="12" t="inlineStr">
        <is>
          <t>n/a</t>
        </is>
      </c>
      <c r="J221" s="12" t="inlineStr">
        <is>
          <t>n/a</t>
        </is>
      </c>
      <c r="K221" s="12" t="inlineStr">
        <is>
          <t>n/a</t>
        </is>
      </c>
      <c r="L221" s="12" t="inlineStr">
        <is>
          <t>not scenario-dependent</t>
        </is>
      </c>
      <c r="M221"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1" s="12" t="inlineStr">
        <is>
          <t>verified</t>
        </is>
      </c>
    </row>
    <row r="222" ht="147.75" customHeight="1" s="10">
      <c r="A222" s="12" t="inlineStr">
        <is>
          <t>5. State exposure</t>
        </is>
      </c>
      <c r="B222" s="13" t="inlineStr">
        <is>
          <t>SE-18</t>
        </is>
      </c>
      <c r="C222" s="12" t="inlineStr">
        <is>
          <t>Expansion states face the 100% SDP cap, the phase-down, the provider tax freeze and the lower threshold; non-expansion states face the 110% SDP cap, the phase-down and the freeze, but not the lower threshold</t>
        </is>
      </c>
      <c r="D222" s="12" t="inlineStr">
        <is>
          <t>rule mechanic / state classification [E]/[I]</t>
        </is>
      </c>
      <c r="E222" s="12" t="inlineStr">
        <is>
          <t>Sections 71115–71116</t>
        </is>
      </c>
      <c r="F222" s="12" t="inlineStr">
        <is>
          <t>Sections 71115-71116; note sec. 6 (group table, 'Parts of the two rules that reach the group')</t>
        </is>
      </c>
      <c r="G222" s="12" t="inlineStr">
        <is>
          <t>Note sec. 6, group table</t>
        </is>
      </c>
      <c r="H222" s="12" t="inlineStr">
        <is>
          <t>Structural comparison of mechanism reach</t>
        </is>
      </c>
      <c r="I222" s="12" t="inlineStr">
        <is>
          <t>state level</t>
        </is>
      </c>
      <c r="J222" s="12" t="inlineStr">
        <is>
          <t>prospective</t>
        </is>
      </c>
      <c r="K222" s="12" t="inlineStr">
        <is>
          <t>n/a</t>
        </is>
      </c>
      <c r="L222" s="12" t="inlineStr">
        <is>
          <t>not scenario-dependent</t>
        </is>
      </c>
      <c r="M222"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2" s="12" t="inlineStr">
        <is>
          <t>verified with caveat — earlier 'no phase-down' wording meant the tax threshold; v17 restates it</t>
        </is>
      </c>
    </row>
    <row r="223" ht="199.5" customHeight="1" s="10">
      <c r="A223" s="12" t="inlineStr">
        <is>
          <t>5. State exposure</t>
        </is>
      </c>
      <c r="B223" s="13" t="inlineStr">
        <is>
          <t>SE-19</t>
        </is>
      </c>
      <c r="C223" s="12" t="inlineStr">
        <is>
          <t>Twelve states carry PARTIAL or INSUFFICIENT data quality flags in the state file</t>
        </is>
      </c>
      <c r="D223" s="12" t="inlineStr">
        <is>
          <t>state classification</t>
        </is>
      </c>
      <c r="E223" s="12" t="inlineStr">
        <is>
          <t>State tier file (C4), re-derived for this ledger</t>
        </is>
      </c>
      <c r="F223" s="12" t="inlineStr">
        <is>
          <t>Note sec. 6, gap 5; C4 data_quality_flag column</t>
        </is>
      </c>
      <c r="G223" s="12" t="inlineStr">
        <is>
          <t>Data quality column, all 51 jurisdictions</t>
        </is>
      </c>
      <c r="H223" s="12" t="inlineStr">
        <is>
          <t>Count of jurisdictions whose record carries a data quality flag</t>
        </is>
      </c>
      <c r="I223" s="12" t="inlineStr">
        <is>
          <t>state count</t>
        </is>
      </c>
      <c r="J223" s="12" t="inlineStr">
        <is>
          <t>Aug 2026 file</t>
        </is>
      </c>
      <c r="K223" s="12" t="inlineStr">
        <is>
          <t>n/a</t>
        </is>
      </c>
      <c r="L223" s="12" t="inlineStr">
        <is>
          <t>not scenario-dependent</t>
        </is>
      </c>
      <c r="M223"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23" s="12" t="inlineStr">
        <is>
          <t>SUPERSEDED — twelve-state flag count is no longer a note claim; no replacement row</t>
        </is>
      </c>
    </row>
    <row r="224" ht="95.25" customHeight="1" s="10">
      <c r="A224" s="12" t="inlineStr">
        <is>
          <t>5. State exposure</t>
        </is>
      </c>
      <c r="B224" s="13" t="inlineStr">
        <is>
          <t>SE-20</t>
        </is>
      </c>
      <c r="C224" s="12" t="inlineStr">
        <is>
          <t>Group E includes Alabama and Wyoming, whose KFF data-quality flags mean their lack of identified SDPs above the caps partly reflects limited data</t>
        </is>
      </c>
      <c r="D224" s="12" t="inlineStr">
        <is>
          <t>state classification [I]</t>
        </is>
      </c>
      <c r="E224" s="12" t="inlineStr">
        <is>
          <t>State tier file (C4)</t>
        </is>
      </c>
      <c r="F224" s="12" t="inlineStr">
        <is>
          <t>Note sec. 6 ('two Group E states carry KFF data-quality flags'); App. H ('Draft note, Group D flags')</t>
        </is>
      </c>
      <c r="G224" s="12" t="inlineStr">
        <is>
          <t>Note App. H</t>
        </is>
      </c>
      <c r="H224" s="12" t="inlineStr">
        <is>
          <t>Data quality within Group E</t>
        </is>
      </c>
      <c r="I224" s="12" t="inlineStr">
        <is>
          <t>state level</t>
        </is>
      </c>
      <c r="J224" s="12" t="inlineStr">
        <is>
          <t>Aug 2026 file</t>
        </is>
      </c>
      <c r="K224" s="12" t="inlineStr">
        <is>
          <t>n/a</t>
        </is>
      </c>
      <c r="L224" s="12" t="inlineStr">
        <is>
          <t>not scenario-dependent</t>
        </is>
      </c>
      <c r="M224"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 CORRECTED October 14, 2026, third pass (verification_v4_log.md): KFF publishes no data-quality flag for Alabama or Wyoming (see SE-13); the 'PARTIAL / DETERMINED ZERO' labels are the analyst's C4 file. KFF's Figure 1 data mark both 'No managed care', and SDPs are directions to managed care plans, so the $0 reflects the absence of managed care, not limited data. Neither state is among those whose rates KFF imputed. Retrieval: each chart's base URL (https://datawrapper.dwcdn.net/&lt;id&gt;/) answers with a meta-refresh to its current version; the versioned page and its dataset.csv were downloaded with curl on October 14, 2026 and matched by script.</t>
        </is>
      </c>
      <c r="N224" s="12" t="inlineStr">
        <is>
          <t>corrected — source says: “states can implement SDPs that require MCOs to increase rates or set minimum rates for specified Medicaid services” (KFF, Aug 14, 2026; Figure 1 data list Alabama and Wyoming as 'No managed care' (https://datawrapper.dwcdn.net/ZdNkK/23/dataset.csv)). v17 must change Sec. 6 and App. H (see verification_v4_log.md). Base status was verified; re-checked October 14, 2026, third pass.</t>
        </is>
      </c>
    </row>
    <row r="225" ht="95.25" customHeight="1" s="10">
      <c r="A225" s="12" t="inlineStr">
        <is>
          <t>5. State exposure</t>
        </is>
      </c>
      <c r="B225" s="13" t="inlineStr">
        <is>
          <t>SE-21</t>
        </is>
      </c>
      <c r="C225" s="12" t="inlineStr">
        <is>
          <t>No group separates SDPs funded by provider taxes from SDPs funded only by IGTs, which the lower threshold does not reach</t>
        </is>
      </c>
      <c r="D225" s="12" t="inlineStr">
        <is>
          <t>state classification - limitation [I]</t>
        </is>
      </c>
      <c r="E225" s="12" t="inlineStr">
        <is>
          <t>[FIRM]</t>
        </is>
      </c>
      <c r="F225" s="12" t="inlineStr">
        <is>
          <t>Note sec. 6 (last paragraph)</t>
        </is>
      </c>
      <c r="G225" s="12" t="inlineStr">
        <is>
          <t>Note sec. 6</t>
        </is>
      </c>
      <c r="H225" s="12" t="inlineStr">
        <is>
          <t>Scope limit of the grouping</t>
        </is>
      </c>
      <c r="I225" s="12" t="inlineStr">
        <is>
          <t>state level</t>
        </is>
      </c>
      <c r="J225" s="12" t="inlineStr">
        <is>
          <t>n/a</t>
        </is>
      </c>
      <c r="K225" s="12" t="inlineStr">
        <is>
          <t>n/a</t>
        </is>
      </c>
      <c r="L225" s="12" t="inlineStr">
        <is>
          <t>not scenario-dependent</t>
        </is>
      </c>
      <c r="M225"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25" s="12" t="inlineStr">
        <is>
          <t>verified</t>
        </is>
      </c>
    </row>
    <row r="226" ht="42.75" customHeight="1" s="10">
      <c r="A226" s="12" t="inlineStr">
        <is>
          <t>5. State exposure</t>
        </is>
      </c>
      <c r="B226" s="13" t="inlineStr">
        <is>
          <t>SE-22</t>
        </is>
      </c>
      <c r="C226" s="12" t="inlineStr">
        <is>
          <t>THEIA Services groups states by which parts of the two rules reach them, not by how much they would lose</t>
        </is>
      </c>
      <c r="D226" s="12" t="inlineStr">
        <is>
          <t>contextual [I]</t>
        </is>
      </c>
      <c r="E226" s="12" t="inlineStr">
        <is>
          <t>THEIA Services</t>
        </is>
      </c>
      <c r="F226" s="12" t="inlineStr">
        <is>
          <t>Note sec. 6 (first sentence); Figure 6 caption</t>
        </is>
      </c>
      <c r="G226" s="12" t="inlineStr">
        <is>
          <t>Note sec. 6: 'THEIA Services groups states by which parts of the two rules reach them, not by how much they would lose.'</t>
        </is>
      </c>
      <c r="H226" s="12" t="inlineStr">
        <is>
          <t>Purpose and limit of the grouping</t>
        </is>
      </c>
      <c r="I226" s="12" t="inlineStr">
        <is>
          <t>state level</t>
        </is>
      </c>
      <c r="J226" s="12" t="inlineStr">
        <is>
          <t>n/a</t>
        </is>
      </c>
      <c r="K226" s="12" t="inlineStr">
        <is>
          <t>n/a</t>
        </is>
      </c>
      <c r="L226" s="12" t="inlineStr">
        <is>
          <t>not scenario-dependent</t>
        </is>
      </c>
      <c r="M226" s="12" t="inlineStr">
        <is>
          <t>The group table's dollar column is KFF's federal hospital SDP spending above the caps and is not a loss estimate. Same limit as the Figure 6 caption (FG-06: 'the map shows where the rules apply, not where losses would be largest').</t>
        </is>
      </c>
      <c r="N226" s="12" t="inlineStr">
        <is>
          <t>verified</t>
        </is>
      </c>
    </row>
    <row r="227" ht="42.75" customHeight="1" s="10">
      <c r="A227" s="12" t="inlineStr">
        <is>
          <t>5. State exposure</t>
        </is>
      </c>
      <c r="B227" s="13" t="inlineStr">
        <is>
          <t>SE-23</t>
        </is>
      </c>
      <c r="C227" s="12" t="inlineStr">
        <is>
          <t>The freeze limits every state's ability to replace lost payments with new or higher provider taxes</t>
        </is>
      </c>
      <c r="D227" s="12" t="inlineStr">
        <is>
          <t>contextual [I]</t>
        </is>
      </c>
      <c r="E227" s="12" t="inlineStr">
        <is>
          <t>THEIA Services reading of Section 71115 and CMS-2452-P</t>
        </is>
      </c>
      <c r="F227" s="12" t="inlineStr">
        <is>
          <t>Note sec. 6 (paragraph after the group table)</t>
        </is>
      </c>
      <c r="G227" s="12" t="inlineStr">
        <is>
          <t>Note sec. 6</t>
        </is>
      </c>
      <c r="H227" s="12" t="inlineStr">
        <is>
          <t>Reach of the provider tax freeze</t>
        </is>
      </c>
      <c r="I227" s="12" t="inlineStr">
        <is>
          <t>all states</t>
        </is>
      </c>
      <c r="J227" s="12" t="inlineStr">
        <is>
          <t>prospective</t>
        </is>
      </c>
      <c r="K227" s="12" t="inlineStr">
        <is>
          <t>n/a</t>
        </is>
      </c>
      <c r="L227" s="12" t="inlineStr">
        <is>
          <t>not scenario-dependent</t>
        </is>
      </c>
      <c r="M227" s="12" t="inlineStr">
        <is>
          <t>The freeze applies in all states and covers rate increases as well as new taxes (RM-06, RM-27). The conclusion about replacing lost payments is THEIA Services' reading and is tagged [I].</t>
        </is>
      </c>
      <c r="N227" s="12" t="inlineStr">
        <is>
          <t>verified as inference</t>
        </is>
      </c>
    </row>
    <row r="228" ht="84.75" customHeight="1" s="10">
      <c r="A228" s="12" t="inlineStr">
        <is>
          <t>5. State exposure</t>
        </is>
      </c>
      <c r="B228" s="13" t="inlineStr">
        <is>
          <t>SE-24</t>
        </is>
      </c>
      <c r="C228" s="12" t="inlineStr">
        <is>
          <t>KFF cautions that dollars above the caps do not show which states face the largest proportional effects</t>
        </is>
      </c>
      <c r="D228" s="12" t="inlineStr">
        <is>
          <t>third-party estimate [E]</t>
        </is>
      </c>
      <c r="E228" s="12" t="inlineStr">
        <is>
          <t>KFF</t>
        </is>
      </c>
      <c r="F228" s="12" t="inlineStr">
        <is>
          <t>Issue brief, Aug 14, 2026; note sec. 6</t>
        </is>
      </c>
      <c r="G228" s="12" t="inlineStr">
        <is>
          <t>Note sec. 6</t>
        </is>
      </c>
      <c r="H228" s="12" t="inlineStr">
        <is>
          <t>Interpretive limit on the dollar measure</t>
        </is>
      </c>
      <c r="I228" s="12" t="inlineStr">
        <is>
          <t>hospital only</t>
        </is>
      </c>
      <c r="J228" s="12" t="inlineStr">
        <is>
          <t>FFY2025</t>
        </is>
      </c>
      <c r="K228" s="12" t="inlineStr">
        <is>
          <t>n/a</t>
        </is>
      </c>
      <c r="L228" s="12" t="inlineStr">
        <is>
          <t>not scenario-dependent</t>
        </is>
      </c>
      <c r="M228" s="12" t="inlineStr">
        <is>
          <t>First limb of the sentence at SE-16, split out so the base-rate direction can be tracked separately. The KFF brief was not re-read this cycle. No corroborating source located beyond KFF itself. CORRECTED October 13, 2026, second pass (verification_v4_log.md): KFF, Aug 14, 2026 brief (https://www.kff.org/medicaid/at-least-37-states-have-medicaid-state-directed-payments-for-hospital-services-that-could-be-reduced-by-the-2025-reconciliation-law-limits/), matched by script. KFF hedges ('may not indicate', 'could have'); v17 states it flatly.</t>
        </is>
      </c>
      <c r="N228" s="12" t="inlineStr">
        <is>
          <t>corrected — source says: “The dollar amount of SDP spending above new limits may not indicate which states could have the biggest proportional effects” (KFF, Aug 14, 2026). v17 must change Sec. 6 (see verification_v4_log.md). Base status was single-source.</t>
        </is>
      </c>
    </row>
    <row r="229" ht="273" customHeight="1" s="10">
      <c r="A229" s="12" t="inlineStr">
        <is>
          <t>6. Access context</t>
        </is>
      </c>
      <c r="B229" s="13" t="inlineStr">
        <is>
          <t>AC-01</t>
        </is>
      </c>
      <c r="C229" s="12" t="inlineStr">
        <is>
          <t>Obstetric, pediatric and inpatient psychiatric services were shrinking or shifting before either rule was proposed</t>
        </is>
      </c>
      <c r="D229" s="12" t="inlineStr">
        <is>
          <t>contextual [E]</t>
        </is>
      </c>
      <c r="E229" s="12" t="inlineStr">
        <is>
          <t>GAO; Michelson et al.; Lindenfeld et al.</t>
        </is>
      </c>
      <c r="F229" s="12" t="inlineStr">
        <is>
          <t>GAO-23-105515, October 2022; Michelson et al., December 2024; Lindenfeld et al., PLoS Medicine, July 2025 (data window ending 2023); note sec. 8 (opening paragraph)</t>
        </is>
      </c>
      <c r="G229" s="12" t="inlineStr">
        <is>
          <t>Note sec. 8: 'Obstetric, pediatric and inpatient psychiatric services were shrinking or shifting before either rule was proposed (studies below)'</t>
        </is>
      </c>
      <c r="H229" s="12" t="inlineStr">
        <is>
          <t>Pre-existing service-line fragility, evidenced by facility, unit and bed counts</t>
        </is>
      </c>
      <c r="I229" s="12" t="inlineStr">
        <is>
          <t>service line</t>
        </is>
      </c>
      <c r="J229" s="12" t="inlineStr">
        <is>
          <t>2004–2023 across the three sources</t>
        </is>
      </c>
      <c r="K229" s="12" t="inlineStr">
        <is>
          <t>n/a</t>
        </is>
      </c>
      <c r="L229" s="12" t="inlineStr">
        <is>
          <t>not scenario-dependent</t>
        </is>
      </c>
      <c r="M229"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29" s="12" t="inlineStr">
        <is>
          <t>verified with caveat - cited at AC-09, AC-10 and AC-11; the psychiatric limb shows shifting point estimates with no significant trend, not aggregate decline (AC-14)</t>
        </is>
      </c>
    </row>
    <row r="230" ht="147.75" customHeight="1" s="10">
      <c r="A230" s="12" t="inlineStr">
        <is>
          <t>6. Access context</t>
        </is>
      </c>
      <c r="B230" s="13" t="inlineStr">
        <is>
          <t>AC-02</t>
        </is>
      </c>
      <c r="C230" s="12" t="inlineStr">
        <is>
          <t>Where hospitals run obstetric, pediatric or psychiatric services below cost and cover the loss from other revenue, lower SDPs are a plausible pressure point</t>
        </is>
      </c>
      <c r="D230" s="12" t="inlineStr">
        <is>
          <t>contextual (conditional) [C]</t>
        </is>
      </c>
      <c r="E230" s="12" t="inlineStr">
        <is>
          <t>[FIRM]</t>
        </is>
      </c>
      <c r="F230" s="12" t="inlineStr">
        <is>
          <t>Note sec. 8 (IMD paragraph, last sentence)</t>
        </is>
      </c>
      <c r="G230" s="12" t="inlineStr">
        <is>
          <t>Note sec. 8</t>
        </is>
      </c>
      <c r="H230" s="12" t="inlineStr">
        <is>
          <t>A conditional mechanism, not a prediction</t>
        </is>
      </c>
      <c r="I230" s="12" t="inlineStr">
        <is>
          <t>service line</t>
        </is>
      </c>
      <c r="J230" s="12" t="inlineStr">
        <is>
          <t>prospective</t>
        </is>
      </c>
      <c r="K230" s="12" t="inlineStr">
        <is>
          <t>n/a</t>
        </is>
      </c>
      <c r="L230" s="12" t="inlineStr">
        <is>
          <t>conditional</t>
        </is>
      </c>
      <c r="M230"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0" s="12" t="inlineStr">
        <is>
          <t>verified as conditional</t>
        </is>
      </c>
    </row>
    <row r="231" ht="137.25" customHeight="1" s="10">
      <c r="A231" s="12" t="inlineStr">
        <is>
          <t>6. Access context</t>
        </is>
      </c>
      <c r="B231" s="13" t="inlineStr">
        <is>
          <t>AC-03</t>
        </is>
      </c>
      <c r="C231"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1" s="12" t="inlineStr">
        <is>
          <t>contextual [I]</t>
        </is>
      </c>
      <c r="E231" s="12" t="inlineStr">
        <is>
          <t>[FIRM]</t>
        </is>
      </c>
      <c r="F231" s="12" t="inlineStr">
        <is>
          <t>Note sec. 8 (opening paragraph)</t>
        </is>
      </c>
      <c r="G231" s="12" t="inlineStr">
        <is>
          <t>Note sec. 8</t>
        </is>
      </c>
      <c r="H231" s="12" t="inlineStr">
        <is>
          <t>What public data can and cannot support about service-line effects</t>
        </is>
      </c>
      <c r="I231" s="12" t="inlineStr">
        <is>
          <t>facility level</t>
        </is>
      </c>
      <c r="J231" s="12" t="inlineStr">
        <is>
          <t>prospective</t>
        </is>
      </c>
      <c r="K231" s="12" t="inlineStr">
        <is>
          <t>n/a</t>
        </is>
      </c>
      <c r="L231" s="12" t="inlineStr">
        <is>
          <t>not scenario-dependent</t>
        </is>
      </c>
      <c r="M231"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1" s="12" t="inlineStr">
        <is>
          <t>verified</t>
        </is>
      </c>
    </row>
    <row r="232" ht="105.75" customHeight="1" s="10">
      <c r="A232" s="12" t="inlineStr">
        <is>
          <t>6. Access context</t>
        </is>
      </c>
      <c r="B232" s="13" t="inlineStr">
        <is>
          <t>AC-04</t>
        </is>
      </c>
      <c r="C232" s="12" t="inlineStr">
        <is>
          <t>A more generous grandfathering window delays a phase-down rather than removing it, the phase-down still runs at 10 points per year from FFY2028, and a defaulted limit is a limit nobody outside the state can currently compute</t>
        </is>
      </c>
      <c r="D232" s="12" t="inlineStr">
        <is>
          <t>derived arithmetic</t>
        </is>
      </c>
      <c r="E232" s="12" t="inlineStr">
        <is>
          <t>RM-03, RM-18, RM-19</t>
        </is>
      </c>
      <c r="F232" s="12" t="inlineStr">
        <is>
          <t>Note sec. 5</t>
        </is>
      </c>
      <c r="G232" s="12" t="inlineStr">
        <is>
          <t>Narrative</t>
        </is>
      </c>
      <c r="H232" s="12" t="inlineStr">
        <is>
          <t>Consequence of the mechanics for rural facilities</t>
        </is>
      </c>
      <c r="I232" s="12" t="inlineStr">
        <is>
          <t>facility class</t>
        </is>
      </c>
      <c r="J232" s="12" t="inlineStr">
        <is>
          <t>FFY2028 onward</t>
        </is>
      </c>
      <c r="K232" s="12" t="inlineStr">
        <is>
          <t>n/a</t>
        </is>
      </c>
      <c r="L232" s="12" t="inlineStr">
        <is>
          <t>not scenario-dependent</t>
        </is>
      </c>
      <c r="M232"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32" s="12" t="inlineStr">
        <is>
          <t>SUPERSEDED — restated as possibly more restrictive; replaced by AC-16</t>
        </is>
      </c>
    </row>
    <row r="233" ht="84.75" customHeight="1" s="10">
      <c r="A233" s="12" t="inlineStr">
        <is>
          <t>6. Access context</t>
        </is>
      </c>
      <c r="B233" s="13" t="inlineStr">
        <is>
          <t>AC-05</t>
        </is>
      </c>
      <c r="C233" s="12" t="inlineStr">
        <is>
          <t>Many rural facilities operate with limited financial cushion and high public payer exposure, which can make revenue disruption harder to absorb</t>
        </is>
      </c>
      <c r="D233" s="12" t="inlineStr">
        <is>
          <t>contextual (conditional)</t>
        </is>
      </c>
      <c r="E233" s="12" t="inlineStr">
        <is>
          <t>**none cited**</t>
        </is>
      </c>
      <c r="F233" s="12" t="inlineStr">
        <is>
          <t>Note sec. 5 carries no citation for this sentence</t>
        </is>
      </c>
      <c r="G233" s="12" t="inlineStr">
        <is>
          <t>—</t>
        </is>
      </c>
      <c r="H233" s="12" t="inlineStr">
        <is>
          <t>Pre-existing financial condition of rural facilities</t>
        </is>
      </c>
      <c r="I233" s="12" t="inlineStr">
        <is>
          <t>facility class</t>
        </is>
      </c>
      <c r="J233" s="12" t="inlineStr">
        <is>
          <t>pre-2025</t>
        </is>
      </c>
      <c r="K233" s="12" t="inlineStr">
        <is>
          <t>n/a</t>
        </is>
      </c>
      <c r="L233" s="12" t="inlineStr">
        <is>
          <t>conditional</t>
        </is>
      </c>
      <c r="M233"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33" s="12" t="inlineStr">
        <is>
          <t>SUPERSEDED by the rural-paragraph rewrite - replaced by NC-12</t>
        </is>
      </c>
    </row>
    <row r="234" ht="147.75" customHeight="1" s="10">
      <c r="A234" s="12" t="inlineStr">
        <is>
          <t>6. Access context</t>
        </is>
      </c>
      <c r="B234" s="13" t="inlineStr">
        <is>
          <t>AC-06</t>
        </is>
      </c>
      <c r="C234" s="12" t="inlineStr">
        <is>
          <t>Direct exposure and timing vary materially by rural designation, grandfathering status, payment methodology and state financing design</t>
        </is>
      </c>
      <c r="D234" s="12" t="inlineStr">
        <is>
          <t>contextual (conditional)</t>
        </is>
      </c>
      <c r="E234" s="12" t="inlineStr">
        <is>
          <t>[FIRM]</t>
        </is>
      </c>
      <c r="F234" s="12" t="inlineStr">
        <is>
          <t>Note sec. 5</t>
        </is>
      </c>
      <c r="G234" s="12" t="inlineStr">
        <is>
          <t>Narrative</t>
        </is>
      </c>
      <c r="H234" s="12" t="inlineStr">
        <is>
          <t>Heterogeneity within the rural category</t>
        </is>
      </c>
      <c r="I234" s="12" t="inlineStr">
        <is>
          <t>facility class</t>
        </is>
      </c>
      <c r="J234" s="12" t="inlineStr">
        <is>
          <t>prospective</t>
        </is>
      </c>
      <c r="K234" s="12" t="inlineStr">
        <is>
          <t>n/a</t>
        </is>
      </c>
      <c r="L234" s="12" t="inlineStr">
        <is>
          <t>conditional</t>
        </is>
      </c>
      <c r="M234"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34" s="12" t="inlineStr">
        <is>
          <t>SUPERSEDED — heterogeneity statement is no longer a note claim; no replacement row</t>
        </is>
      </c>
    </row>
    <row r="235" ht="147.75" customHeight="1" s="10">
      <c r="A235" s="12" t="inlineStr">
        <is>
          <t>6. Access context</t>
        </is>
      </c>
      <c r="B235" s="13" t="inlineStr">
        <is>
          <t>AC-07</t>
        </is>
      </c>
      <c r="C235" s="12" t="inlineStr">
        <is>
          <t>Total inpatient psychiatric beds per 100,000 people stayed about flat, 28.1 in 2011 and 28.4 in 2023, while freestanding psychiatric hospital beds rose from 16.8 to 19.5</t>
        </is>
      </c>
      <c r="D235" s="12" t="inlineStr">
        <is>
          <t>third-party estimate (peer-reviewed) [E]</t>
        </is>
      </c>
      <c r="E235" s="12" t="inlineStr">
        <is>
          <t>Lindenfeld et al., *PLoS Medicine*</t>
        </is>
      </c>
      <c r="F235" s="12" t="inlineStr">
        <is>
          <t>Published July 2025; data window 2011-2023; abstract; note sec. 8 (psychiatry bullet; Figure 8 caption)</t>
        </is>
      </c>
      <c r="G235" s="12" t="inlineStr">
        <is>
          <t>Note sec. 8</t>
        </is>
      </c>
      <c r="H235" s="12" t="inlineStr">
        <is>
          <t>Inpatient psychiatric beds per 100,000 population, by facility type and in total</t>
        </is>
      </c>
      <c r="I235" s="12" t="inlineStr">
        <is>
          <t>facility type, national</t>
        </is>
      </c>
      <c r="J235" s="12" t="inlineStr">
        <is>
          <t>2011–2023</t>
        </is>
      </c>
      <c r="K235" s="12" t="inlineStr">
        <is>
          <t>n/a</t>
        </is>
      </c>
      <c r="L235" s="12" t="inlineStr">
        <is>
          <t>not scenario-dependent</t>
        </is>
      </c>
      <c r="M235"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 VERIFIED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Results: 28.1 and 28.4 IPBs per 100,000 across both facility types; psychiatric hospitals 16.8 to 19.5; the total 'did not change' (abstract). The paper's Results give the short-term acute care series as 11.2 to 8.9, which with 16.8 and 19.5 close to 28.0 and 28.4; the abstract's 11.3 and 9.06 (AC-11) explain the 0.2 gap noted here.</t>
        </is>
      </c>
      <c r="N235" s="12" t="inlineStr">
        <is>
          <t>single-source — one study; re-checked October 13, 2026 against the PMC full text: 28.1 (2011) and 28.4 (2023) in total, 16.8 to 19.5 in psychiatric hospitals; matches (read, not script-matched).</t>
        </is>
      </c>
    </row>
    <row r="236" ht="126.75" customHeight="1" s="10">
      <c r="A236" s="12" t="inlineStr">
        <is>
          <t>6. Access context</t>
        </is>
      </c>
      <c r="B236" s="13" t="inlineStr">
        <is>
          <t>AC-08</t>
        </is>
      </c>
      <c r="C236" s="12" t="inlineStr">
        <is>
          <t>The authors found no statistically significant trend for any type of bed</t>
        </is>
      </c>
      <c r="D236" s="12" t="inlineStr">
        <is>
          <t>third-party estimate (peer-reviewed) [E]</t>
        </is>
      </c>
      <c r="E236" s="12" t="inlineStr">
        <is>
          <t>Lindenfeld et al., *PLoS Medicine*</t>
        </is>
      </c>
      <c r="F236" s="12" t="inlineStr">
        <is>
          <t>Published July 2025; data window 2011-2023; abstract; note sec. 8 (psychiatry bullet; Figure 8 caption)</t>
        </is>
      </c>
      <c r="G236" s="12" t="inlineStr">
        <is>
          <t>Note sec. 8</t>
        </is>
      </c>
      <c r="H236" s="12" t="inlineStr">
        <is>
          <t>Statistical significance of bed trends</t>
        </is>
      </c>
      <c r="I236" s="12" t="inlineStr">
        <is>
          <t>facility type, national</t>
        </is>
      </c>
      <c r="J236" s="12" t="inlineStr">
        <is>
          <t>2011–2023</t>
        </is>
      </c>
      <c r="K236" s="12" t="inlineStr">
        <is>
          <t>n/a</t>
        </is>
      </c>
      <c r="L236" s="12" t="inlineStr">
        <is>
          <t>not scenario-dependent</t>
        </is>
      </c>
      <c r="M236"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 CORRECTED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Fig 1 note: AAPC −2.0 (95% CI −5.84, 3.01) for STACH beds, 1.4 (−1.9, 4.9) for psychiatric hospitals, 0.34 (−2.34, 3.11) in total, all spanning zero. But Table 2 gives a year IRR of 0.97 (95% CI 0.96–0.99, p&lt;0.001) for STACH psychiatric beds, and Table 3 a significant yearly decrease in county beds per 100,000 (−153.78, p&lt;0.001). 'No statistically significant trend for any type of bed' is true of the AAPC only.</t>
        </is>
      </c>
      <c r="N236" s="12" t="inlineStr">
        <is>
          <t>corrected — source says: “For all types of IPBs, the average annual percent change over the study period was not significant” (Lindenfeld et al., Results ¶1; Fig 1 note). The paper's regression and county models do find a significant yearly decline (Tables 2–3). v17 must narrow 'no statistically significant trend for any type of bed' to the average annual percent change (see verification_v4_log.md). Base status was single-source. Read via the PubMed connector, not script-matched.</t>
        </is>
      </c>
    </row>
    <row r="237" ht="137.25" customHeight="1" s="10">
      <c r="A237" s="12" t="inlineStr">
        <is>
          <t>6. Access context</t>
        </is>
      </c>
      <c r="B237" s="13" t="inlineStr">
        <is>
          <t>AC-09</t>
        </is>
      </c>
      <c r="C237" s="12" t="inlineStr">
        <is>
          <t>GAO reported research showing that the number of rural hospitals providing obstetric services fell from 2004 through 2018, and that by 2018 more than half of rural counties had no hospital offering them</t>
        </is>
      </c>
      <c r="D237" s="12" t="inlineStr">
        <is>
          <t>third-party estimate (federal oversight body) [E]</t>
        </is>
      </c>
      <c r="E237" s="12" t="inlineStr">
        <is>
          <t>GAO</t>
        </is>
      </c>
      <c r="F237" s="12" t="inlineStr">
        <is>
          <t>GAO-23-105515, October 2022; note sec. 8 (Obstetrics bullet)</t>
        </is>
      </c>
      <c r="G237" s="12" t="inlineStr">
        <is>
          <t>Note sec. 8 (Obstetrics bullet)</t>
        </is>
      </c>
      <c r="H237" s="12" t="inlineStr">
        <is>
          <t>Count of rural hospitals offering obstetric services, and share of rural counties with no such service</t>
        </is>
      </c>
      <c r="I237" s="12" t="inlineStr">
        <is>
          <t>rural hospitals and rural counties, national</t>
        </is>
      </c>
      <c r="J237" s="12" t="inlineStr">
        <is>
          <t>2004-2018</t>
        </is>
      </c>
      <c r="K237" s="12" t="inlineStr">
        <is>
          <t>n/a</t>
        </is>
      </c>
      <c r="L237" s="12" t="inlineStr">
        <is>
          <t>not scenario-dependent</t>
        </is>
      </c>
      <c r="M237"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 VERIFIED October 14, 2026, third pass (verification_v4_log.md): GAO-23-105515 (user-supplied copy: 313cff62-GAO-23-105515.pdf), Highlights page, matched by script: 'Research indicates that the number of rural hospitals providing obstetric services declined from 2004 through 2018, and more than half of rural counties did not have such services in 2018'. GAO adds 'according to the most recent data available'. v17's 'GAO reported research showing' and 'fell' carry the same meaning; the caveat (GAO reports others' research; window predates both rules) stands.</t>
        </is>
      </c>
      <c r="N237" s="12" t="inlineStr">
        <is>
          <t>verified with caveat - GAO is reporting others' research, and the window predates both rules — re-checked October 14, 2026, third pass: GAO's Highlights match (user-supplied copy: 313cff62-GAO-23-105515.pdf): research indicates rural hospitals providing obstetric services declined 2004-2018, and more than half of rural counties had none in 2018.</t>
        </is>
      </c>
    </row>
    <row r="238" ht="126.75" customHeight="1" s="10">
      <c r="A238" s="12" t="inlineStr">
        <is>
          <t>6. Access context</t>
        </is>
      </c>
      <c r="B238" s="13" t="inlineStr">
        <is>
          <t>AC-10</t>
        </is>
      </c>
      <c r="C238" s="12" t="inlineStr">
        <is>
          <t>A national study found that pediatric inpatient units fell 29.9 percent and pediatric beds 19.5 percent from 2008 to 2022, against a 4.4 percent decline in adult units</t>
        </is>
      </c>
      <c r="D238" s="12" t="inlineStr">
        <is>
          <t>third-party estimate (peer-reviewed) [E]</t>
        </is>
      </c>
      <c r="E238" s="12" t="inlineStr">
        <is>
          <t>Michelson et al.</t>
        </is>
      </c>
      <c r="F238" s="12" t="inlineStr">
        <is>
          <t>Michelson et al., December 2024; note sec. 8 (Pediatrics bullet; Figure 7 caption)</t>
        </is>
      </c>
      <c r="G238" s="12" t="inlineStr">
        <is>
          <t>Note sec. 8 (Pediatrics bullet)</t>
        </is>
      </c>
      <c r="H238" s="12" t="inlineStr">
        <is>
          <t>Percentage change in pediatric inpatient units and beds, with adult units as the comparison series</t>
        </is>
      </c>
      <c r="I238" s="12" t="inlineStr">
        <is>
          <t>pediatric inpatient units and beds, national</t>
        </is>
      </c>
      <c r="J238" s="12" t="inlineStr">
        <is>
          <t>2008-2022</t>
        </is>
      </c>
      <c r="K238" s="12" t="inlineStr">
        <is>
          <t>n/a</t>
        </is>
      </c>
      <c r="L238" s="12" t="inlineStr">
        <is>
          <t>not scenario-dependent</t>
        </is>
      </c>
      <c r="M238"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 VERIFIED October 14, 2026, third pass (verification_v4_log.md): Michelson et al., 'National Trends in Pediatric Inpatient Capacity', JAMA Pediatrics, published online December 2, 2024, 2025;179(2):208-209 (user-supplied copy: 2962057f-National_Trends_in_Pediatric_Inpatient_...trics___JAMA_Pediatrics___JAMA_Network.pdf), Results, matched by script. PMC was not needed: the attached copy was used. Adult beds fell 3.0%; v17 does not use the adult bed series.</t>
        </is>
      </c>
      <c r="N238" s="12" t="inlineStr">
        <is>
          <t>single-source — one study, read in full — re-checked October 14, 2026, third pass: Michelson et al. match (user-supplied copy: 2962057f-National_Trends_in_Pediatric_Inpatient_...trics___JAMA_Pediatrics___JAMA_Network.pdf): pediatric units -29.9%, beds -19.5%, adult units -4.4%, 2008-2022.</t>
        </is>
      </c>
    </row>
    <row r="239" ht="116.25" customHeight="1" s="10">
      <c r="A239" s="12" t="inlineStr">
        <is>
          <t>6. Access context</t>
        </is>
      </c>
      <c r="B239" s="13" t="inlineStr">
        <is>
          <t>AC-11</t>
        </is>
      </c>
      <c r="C239" s="12" t="inlineStr">
        <is>
          <t>Psychiatric beds per 100,000 people fell from 11.3 to 9.06 in short-term acute care hospitals between 2011 and 2023</t>
        </is>
      </c>
      <c r="D239" s="12" t="inlineStr">
        <is>
          <t>third-party estimate (peer-reviewed) [E]</t>
        </is>
      </c>
      <c r="E239" s="12" t="inlineStr">
        <is>
          <t>Lindenfeld et al., PLoS Medicine</t>
        </is>
      </c>
      <c r="F239" s="12" t="inlineStr">
        <is>
          <t>Published July 2025; data window 2011-2023; abstract; note sec. 8 (psychiatry bullet)</t>
        </is>
      </c>
      <c r="G239" s="12" t="inlineStr">
        <is>
          <t>Note sec. 8</t>
        </is>
      </c>
      <c r="H239" s="12" t="inlineStr">
        <is>
          <t>Inpatient psychiatric beds per 100,000 population, short-term acute-care hospitals only</t>
        </is>
      </c>
      <c r="I239" s="12" t="inlineStr">
        <is>
          <t>facility type, national</t>
        </is>
      </c>
      <c r="J239" s="12" t="inlineStr">
        <is>
          <t>2011-2023</t>
        </is>
      </c>
      <c r="K239" s="12" t="inlineStr">
        <is>
          <t>n/a</t>
        </is>
      </c>
      <c r="L239" s="12" t="inlineStr">
        <is>
          <t>not scenario-dependent</t>
        </is>
      </c>
      <c r="M239"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 VERIFIED WITH CAVEAT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Abstract: STACH beds 'fell from 11.3 in 2011 to 9.06 in 2023'; Results: 'from 11.2 in 2011 to 8.9 in 2023'. v17 follows the abstract. The Results figures add up with the psychiatric-hospital series to the published totals.</t>
        </is>
      </c>
      <c r="N239" s="12" t="inlineStr">
        <is>
          <t>verified with caveat — single study; re-checked October 13, 2026: the abstract gives 11.3 (2011) and 9.06 (2023), as v17 does, but the paper's Results give 11.2 and 8.9 for the same series (read, not script-matched).</t>
        </is>
      </c>
    </row>
    <row r="240" ht="168" customHeight="1" s="10">
      <c r="A240" s="12" t="inlineStr">
        <is>
          <t>6. Access context</t>
        </is>
      </c>
      <c r="B240" s="13" t="inlineStr">
        <is>
          <t>AC-12</t>
        </is>
      </c>
      <c r="C240" s="12" t="inlineStr">
        <is>
          <t>Inpatient psychiatric capacity did not disappear over the period; it migrated out of general hospitals, where cross-subsidy within a system operates, into freestanding psychiatric facilities</t>
        </is>
      </c>
      <c r="D240" s="12" t="inlineStr">
        <is>
          <t>contextual - interpretive inference</t>
        </is>
      </c>
      <c r="E240" s="12" t="inlineStr">
        <is>
          <t>[FIRM], from Lindenfeld et al.</t>
        </is>
      </c>
      <c r="F240" s="12" t="inlineStr">
        <is>
          <t>Note sec. 5; AC-07, AC-08, AC-11</t>
        </is>
      </c>
      <c r="G240" s="12" t="inlineStr">
        <is>
          <t>Narrative</t>
        </is>
      </c>
      <c r="H240" s="12" t="inlineStr">
        <is>
          <t>Reading of the two bed series as substitution rather than net loss</t>
        </is>
      </c>
      <c r="I240" s="12" t="inlineStr">
        <is>
          <t>facility type, national</t>
        </is>
      </c>
      <c r="J240" s="12" t="inlineStr">
        <is>
          <t>2011-2023</t>
        </is>
      </c>
      <c r="K240" s="12" t="inlineStr">
        <is>
          <t>n/a</t>
        </is>
      </c>
      <c r="L240" s="12" t="inlineStr">
        <is>
          <t>not scenario-dependent</t>
        </is>
      </c>
      <c r="M240"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0" s="12" t="inlineStr">
        <is>
          <t>SUPERSEDED — 'migrated, did not disappear' removed; replaced by AC-14 and AC-15</t>
        </is>
      </c>
    </row>
    <row r="241" ht="189" customHeight="1" s="10">
      <c r="A241" s="12" t="inlineStr">
        <is>
          <t>6. Access context</t>
        </is>
      </c>
      <c r="B241" s="13" t="inlineStr">
        <is>
          <t>AC-13</t>
        </is>
      </c>
      <c r="C241"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1" s="12" t="inlineStr">
        <is>
          <t>contextual - inference</t>
        </is>
      </c>
      <c r="E241" s="12" t="inlineStr">
        <is>
          <t>[FIRM]</t>
        </is>
      </c>
      <c r="F241" s="12" t="inlineStr">
        <is>
          <t>Note Summary of findings</t>
        </is>
      </c>
      <c r="G241" s="12" t="inlineStr">
        <is>
          <t>Note Summary of findings</t>
        </is>
      </c>
      <c r="H241" s="12" t="inlineStr">
        <is>
          <t>What public data can and cannot support</t>
        </is>
      </c>
      <c r="I241" s="12" t="inlineStr">
        <is>
          <t>facility level</t>
        </is>
      </c>
      <c r="J241" s="12" t="inlineStr">
        <is>
          <t>n/a</t>
        </is>
      </c>
      <c r="K241" s="12" t="inlineStr">
        <is>
          <t>n/a</t>
        </is>
      </c>
      <c r="L241" s="12" t="inlineStr">
        <is>
          <t>not scenario-dependent</t>
        </is>
      </c>
      <c r="M241"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1" s="12" t="inlineStr">
        <is>
          <t>SUPERSEDED — public-evidence limit is no longer a note claim; narrower statement at AC-03</t>
        </is>
      </c>
    </row>
    <row r="242" ht="189" customHeight="1" s="10">
      <c r="A242" s="12" t="inlineStr">
        <is>
          <t>6. Access context</t>
        </is>
      </c>
      <c r="B242" s="13" t="inlineStr">
        <is>
          <t>AC-14</t>
        </is>
      </c>
      <c r="C242" s="12" t="inlineStr">
        <is>
          <t>The direction of the psychiatric estimates matters for adult Medicaid patients, because most freestanding psychiatric hospitals are institutions for mental diseases (IMDs), where federal Medicaid payment for adults aged 21 to 64 is restricted</t>
        </is>
      </c>
      <c r="D242" s="12" t="inlineStr">
        <is>
          <t>third-party estimate + interpretive inference [I]</t>
        </is>
      </c>
      <c r="E242" s="12" t="inlineStr">
        <is>
          <t>Lindenfeld et al., PLoS Medicine; [FIRM]</t>
        </is>
      </c>
      <c r="F242" s="12" t="inlineStr">
        <is>
          <t>Note sec. 8 (IMD paragraph); App. B ('Draft note, institutions for mental diseases'); Lindenfeld et al., PLoS Medicine, July 2025</t>
        </is>
      </c>
      <c r="G242" s="12" t="inlineStr">
        <is>
          <t>Note sec. 8</t>
        </is>
      </c>
      <c r="H242" s="12" t="inlineStr">
        <is>
          <t>Reading of the two bed series, and its Medicaid consequence</t>
        </is>
      </c>
      <c r="I242" s="12" t="inlineStr">
        <is>
          <t>facility type, national</t>
        </is>
      </c>
      <c r="J242" s="12" t="inlineStr">
        <is>
          <t>2011–2023</t>
        </is>
      </c>
      <c r="K242" s="12" t="inlineStr">
        <is>
          <t>n/a</t>
        </is>
      </c>
      <c r="L242" s="12" t="inlineStr">
        <is>
          <t>not scenario-dependent</t>
        </is>
      </c>
      <c r="M242"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 NOT FOUND October 13, 2026 (verification_v4_log.md): searched the federalregister.gov full-text API for six phrasings (for example "freestanding psychiatric hospitals" with "institutions for mental diseases"; "psychiatric hospitals are IMDs"; "most psychiatric hospitals"), read the IMD passages of 69 FR 66922 (IPF PPS, 2004), 81 FR 27498 (managed care, 2016), 89 FR 23146 (FY 2025 IPF PPS proposed) and 91 FR 48514 (FY 2027 IPF PPS) on govinfo, searched PubMed (4 articles, none with PMC full text) and read Lindenfeld et al. (2025). None says it. Closest support: an IMD is a facility of more than 16 beds primarily engaged in treating mental diseases (§ 1905(i), restated at 81 FR 27561–27562), and psychiatric hospitals in Lindenfeld et al.'s sample average 108 beds (mean, not median). MACPAC (www.macpac.gov) and KFF were refused by the proxy. The claim stays [I] and unresolved.</t>
        </is>
      </c>
      <c r="N242" s="12" t="inlineStr">
        <is>
          <t>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 not found (re-checked October 13, 2026): no source located that says most freestanding psychiatric hospitals are IMDs.</t>
        </is>
      </c>
    </row>
    <row r="243" ht="157.5" customHeight="1" s="10">
      <c r="A243" s="12" t="inlineStr">
        <is>
          <t>6. Access context</t>
        </is>
      </c>
      <c r="B243" s="13" t="inlineStr">
        <is>
          <t>AC-15</t>
        </is>
      </c>
      <c r="C243" s="12" t="inlineStr">
        <is>
          <t>The restriction on federal Medicaid payment for IMD patients long predates both rules (Social Security Act § 1905(a)); the managed care exception for enrollees aged 21-64 is at 42 CFR 438.6(e); the note also refers to an exception for certain demonstrations</t>
        </is>
      </c>
      <c r="D243" s="12" t="inlineStr">
        <is>
          <t>rule mechanic - context [E]</t>
        </is>
      </c>
      <c r="E243" s="12" t="inlineStr">
        <is>
          <t>Social Security Act § 1905(a); 42 CFR 438.6(e)</t>
        </is>
      </c>
      <c r="F243" s="12" t="inlineStr">
        <is>
          <t>Note sec. 8 (IMD paragraph); App. B ('Draft note, institutions for mental diseases')</t>
        </is>
      </c>
      <c r="G243" s="12" t="inlineStr">
        <is>
          <t>Note sec. 8; App. B</t>
        </is>
      </c>
      <c r="H243" s="12" t="inlineStr">
        <is>
          <t>Pre-existing federal payment restriction</t>
        </is>
      </c>
      <c r="I243" s="12" t="inlineStr">
        <is>
          <t>Medicaid adults 21–64</t>
        </is>
      </c>
      <c r="J243" s="12" t="inlineStr">
        <is>
          <t>pre-dates both rules</t>
        </is>
      </c>
      <c r="K243" s="12" t="inlineStr">
        <is>
          <t>n/a</t>
        </is>
      </c>
      <c r="L243" s="12" t="inlineStr">
        <is>
          <t>not scenario-dependent</t>
        </is>
      </c>
      <c r="M243"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 VERIFIED October 13, 2026 (verification_v4_log.md): 81 FR 27562 (Medicaid managed care final rule, FR Doc. 2016-09581, govinfo PDF) says SMDL #15-003 lets states request a section 1115(a) demonstration to receive federal matching funds for individuals residing in IMDs to treat SUD; matched by script. Lindenfeld et al. (2025) say states could apply for section 1115 waivers for mental health treatment in IMDs from 2015 (read, not script-matched). v17's App. B 'not yet sourced' can be replaced by the 81 FR 27562 cite.</t>
        </is>
      </c>
      <c r="N243" s="12" t="inlineStr">
        <is>
          <t>verified — upgraded from verified with caveat: re-checked October 13, 2026: a source for the demonstration exception exists: section 1115(a) demonstrations for IMD stays, under SMDL #15-003 (81 FR 27562).</t>
        </is>
      </c>
    </row>
    <row r="244" ht="189" customHeight="1" s="10">
      <c r="A244" s="12" t="inlineStr">
        <is>
          <t>6. Access context</t>
        </is>
      </c>
      <c r="B244" s="13" t="inlineStr">
        <is>
          <t>AC-16</t>
        </is>
      </c>
      <c r="C244" s="12" t="inlineStr">
        <is>
          <t>Rural hospitals' longer grandfathering window does not exempt them from the phase-down, which still runs from 2028 like other hospitals'; and where the cap defaults to the state plan rate, SDP room above base payments may be little or none</t>
        </is>
      </c>
      <c r="D244" s="12" t="inlineStr">
        <is>
          <t>derived reading - conditional [E]/[I]</t>
        </is>
      </c>
      <c r="E244" s="12" t="inlineStr">
        <is>
          <t>RM-03, RM-16, RM-18</t>
        </is>
      </c>
      <c r="F244" s="12" t="inlineStr">
        <is>
          <t>Note sec. 8 ('Rural hospitals have more time, not immunity'); sec. 7, step 1</t>
        </is>
      </c>
      <c r="G244" s="12" t="inlineStr">
        <is>
          <t>Note sec. 8, rural subsection</t>
        </is>
      </c>
      <c r="H244" s="12" t="inlineStr">
        <is>
          <t>Consequence of the mechanics for rural and cost-reimbursed facilities</t>
        </is>
      </c>
      <c r="I244" s="12" t="inlineStr">
        <is>
          <t>facility class</t>
        </is>
      </c>
      <c r="J244" s="12" t="inlineStr">
        <is>
          <t>FFY2028 onward</t>
        </is>
      </c>
      <c r="K244" s="12" t="inlineStr">
        <is>
          <t>n/a</t>
        </is>
      </c>
      <c r="L244" s="12" t="inlineStr">
        <is>
          <t>conditional</t>
        </is>
      </c>
      <c r="M244"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is>
      </c>
      <c r="N244" s="12" t="inlineStr">
        <is>
          <t>verified - inherits the single-source status of its inputs</t>
        </is>
      </c>
    </row>
    <row r="245" ht="84.75" customHeight="1" s="10">
      <c r="A245" s="12" t="inlineStr">
        <is>
          <t>6. Access context</t>
        </is>
      </c>
      <c r="B245" s="13" t="inlineStr">
        <is>
          <t>AC-17</t>
        </is>
      </c>
      <c r="C245" s="12" t="inlineStr">
        <is>
          <t>Institutions for mental diseases (IMDs) are facilities of more than 16 beds primarily caring for people with mental diseases; the payment restriction for patients under 65 is in § 1905(a) of the Social Security Act</t>
        </is>
      </c>
      <c r="D245" s="12" t="inlineStr">
        <is>
          <t>rule mechanic - definition [E]</t>
        </is>
      </c>
      <c r="E245" s="12" t="inlineStr">
        <is>
          <t>Social Security Act § 1905(i), § 1905(a)</t>
        </is>
      </c>
      <c r="F245" s="12" t="inlineStr">
        <is>
          <t>Note App. B ('Draft note, institutions for mental diseases'); sec. 8</t>
        </is>
      </c>
      <c r="G245" s="12" t="inlineStr">
        <is>
          <t>Note App. B</t>
        </is>
      </c>
      <c r="H245" s="12" t="inlineStr">
        <is>
          <t>Definition of an IMD and location of the payment restriction</t>
        </is>
      </c>
      <c r="I245" s="12" t="inlineStr">
        <is>
          <t>federal Medicaid</t>
        </is>
      </c>
      <c r="J245" s="12" t="inlineStr">
        <is>
          <t>pre-dates both rules</t>
        </is>
      </c>
      <c r="K245" s="12" t="inlineStr">
        <is>
          <t>n/a</t>
        </is>
      </c>
      <c r="L245" s="12" t="inlineStr">
        <is>
          <t>not scenario-dependent</t>
        </is>
      </c>
      <c r="M245"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45" s="12" t="inlineStr">
        <is>
          <t>verified — Citation check, § 1905(a) and (i)</t>
        </is>
      </c>
    </row>
    <row r="246" ht="178.5" customHeight="1" s="10">
      <c r="A246" s="12" t="inlineStr">
        <is>
          <t>7. Negative claims</t>
        </is>
      </c>
      <c r="B246" s="13" t="inlineStr">
        <is>
          <t>NC-01</t>
        </is>
      </c>
      <c r="C246" s="12" t="inlineStr">
        <is>
          <t>THEIA Services found no public source that links SDPs to the hospitals that receive them</t>
        </is>
      </c>
      <c r="D246" s="12" t="inlineStr">
        <is>
          <t>negative claim [I]</t>
        </is>
      </c>
      <c r="E246" s="12" t="inlineStr">
        <is>
          <t>See C-1</t>
        </is>
      </c>
      <c r="F246" s="12" t="inlineStr">
        <is>
          <t>Note sec. 9, item 9; App. C (the facility-level limit)</t>
        </is>
      </c>
      <c r="G246" s="12" t="inlineStr">
        <is>
          <t>Note sec. 9, item 9: 'Any published analysis linking SDPs to the hospitals that receive them; THEIA Services found no public source that makes that link.'</t>
        </is>
      </c>
      <c r="H246" s="12" t="inlineStr">
        <is>
          <t>Absence of an arrangement-to-facility mapping</t>
        </is>
      </c>
      <c r="I246" s="12" t="inlineStr">
        <is>
          <t>national</t>
        </is>
      </c>
      <c r="J246" s="12" t="inlineStr">
        <is>
          <t>as of Sept 6, 2026</t>
        </is>
      </c>
      <c r="K246" s="12" t="inlineStr">
        <is>
          <t>n/a</t>
        </is>
      </c>
      <c r="L246" s="12" t="inlineStr">
        <is>
          <t>not scenario-dependent</t>
        </is>
      </c>
      <c r="M246"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is>
      </c>
      <c r="N246" s="12" t="inlineStr">
        <is>
          <t>verified as scoped (C-1) — v17 wording is broader than C-1's scope</t>
        </is>
      </c>
    </row>
    <row r="247" ht="147.75" customHeight="1" s="10">
      <c r="A247" s="12" t="inlineStr">
        <is>
          <t>7. Negative claims</t>
        </is>
      </c>
      <c r="B247" s="13" t="inlineStr">
        <is>
          <t>NC-02</t>
        </is>
      </c>
      <c r="C247" s="12" t="inlineStr">
        <is>
          <t>A hospital's own records hold the two figures public data lack: its SDP receipts and its provider tax and IGT payments</t>
        </is>
      </c>
      <c r="D247" s="12" t="inlineStr">
        <is>
          <t>negative claim [I]</t>
        </is>
      </c>
      <c r="E247" s="12" t="inlineStr">
        <is>
          <t>See C-2</t>
        </is>
      </c>
      <c r="F247" s="12" t="inlineStr">
        <is>
          <t>Note sec. 7 (opening paragraph); App. C (outline: the five data gaps)</t>
        </is>
      </c>
      <c r="G247" s="12" t="inlineStr">
        <is>
          <t>Note sec. 7</t>
        </is>
      </c>
      <c r="H247" s="12" t="inlineStr">
        <is>
          <t>Absence of facility-level tax incidence data</t>
        </is>
      </c>
      <c r="I247" s="12" t="inlineStr">
        <is>
          <t>national</t>
        </is>
      </c>
      <c r="J247" s="12" t="inlineStr">
        <is>
          <t>as of Sept 6, 2026</t>
        </is>
      </c>
      <c r="K247" s="12" t="inlineStr">
        <is>
          <t>n/a</t>
        </is>
      </c>
      <c r="L247" s="12" t="inlineStr">
        <is>
          <t>not scenario-dependent</t>
        </is>
      </c>
      <c r="M247"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is>
      </c>
      <c r="N247" s="12" t="inlineStr">
        <is>
          <t>verified as scoped (C-2)</t>
        </is>
      </c>
    </row>
    <row r="248" ht="147.75" customHeight="1" s="10">
      <c r="A248" s="12" t="inlineStr">
        <is>
          <t>7. Negative claims</t>
        </is>
      </c>
      <c r="B248" s="13" t="inlineStr">
        <is>
          <t>NC-03</t>
        </is>
      </c>
      <c r="C248" s="12" t="inlineStr">
        <is>
          <t>No standardized public source permitting independent verification of CMS's commercial-to-Medicare ratios was located; public commercial price sources do exist, notably hospital price transparency files and RAND's employer-plan hospital price studies, and neither was searched</t>
        </is>
      </c>
      <c r="D248" s="12" t="inlineStr">
        <is>
          <t>negative claim</t>
        </is>
      </c>
      <c r="E248" s="12" t="inlineStr">
        <is>
          <t>See C-3</t>
        </is>
      </c>
      <c r="F248" s="12" t="inlineStr">
        <is>
          <t>Note sec. 6, gap 3</t>
        </is>
      </c>
      <c r="G248" s="12" t="inlineStr">
        <is>
          <t>Absence</t>
        </is>
      </c>
      <c r="H248" s="12" t="inlineStr">
        <is>
          <t>Absence of a source for checking CMS's price ratio assumptions</t>
        </is>
      </c>
      <c r="I248" s="12" t="inlineStr">
        <is>
          <t>national</t>
        </is>
      </c>
      <c r="J248" s="12" t="inlineStr">
        <is>
          <t>as of Sept 6, 2026</t>
        </is>
      </c>
      <c r="K248" s="12" t="inlineStr">
        <is>
          <t>n/a</t>
        </is>
      </c>
      <c r="L248" s="12" t="inlineStr">
        <is>
          <t>not scenario-dependent</t>
        </is>
      </c>
      <c r="M248"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is>
      </c>
      <c r="N248" s="12" t="inlineStr">
        <is>
          <t>verified as scoped (C-3) - wording tightened; the unsearched sources are now named in the note</t>
        </is>
      </c>
    </row>
    <row r="249" ht="126.75" customHeight="1" s="10">
      <c r="A249" s="12" t="inlineStr">
        <is>
          <t>7. Negative claims</t>
        </is>
      </c>
      <c r="B249" s="13" t="inlineStr">
        <is>
          <t>NC-04</t>
        </is>
      </c>
      <c r="C249" s="12" t="inlineStr">
        <is>
          <t>THEIA Services found no independent derivation of $681 billion before September 2, 2026</t>
        </is>
      </c>
      <c r="D249" s="12" t="inlineStr">
        <is>
          <t>negative claim [I]</t>
        </is>
      </c>
      <c r="E249" s="12" t="inlineStr">
        <is>
          <t>See C-4</t>
        </is>
      </c>
      <c r="F249" s="12" t="inlineStr">
        <is>
          <t>Note sec. 5 (POLITICO subsection, last sentence); App. G</t>
        </is>
      </c>
      <c r="G249" s="12" t="inlineStr">
        <is>
          <t>Note sec. 5</t>
        </is>
      </c>
      <c r="H249" s="12" t="inlineStr">
        <is>
          <t>Absence of an independent derivation</t>
        </is>
      </c>
      <c r="I249" s="12" t="inlineStr">
        <is>
          <t>sources searched before Sept 6, 2026 (C-4), plus the full text of every comment posted on regulations.gov for both rules as of October 7, 2026 (NC-17)</t>
        </is>
      </c>
      <c r="J249" s="12" t="inlineStr">
        <is>
          <t>before Sept 2, 2026 (note); comment records through October 7, 2026 (App. G)</t>
        </is>
      </c>
      <c r="K249" s="12" t="inlineStr">
        <is>
          <t>n/a</t>
        </is>
      </c>
      <c r="L249" s="12" t="inlineStr">
        <is>
          <t>not scenario-dependent</t>
        </is>
      </c>
      <c r="M249"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is>
      </c>
      <c r="N249" s="12" t="inlineStr">
        <is>
          <t>verified as scoped (C-4) — scope extended to the full posted record (NC-17); two of the six September 21 letters remain unlocated</t>
        </is>
      </c>
    </row>
    <row r="250" ht="157.5" customHeight="1" s="10">
      <c r="A250" s="12" t="inlineStr">
        <is>
          <t>7. Negative claims</t>
        </is>
      </c>
      <c r="B250" s="13" t="inlineStr">
        <is>
          <t>NC-05</t>
        </is>
      </c>
      <c r="C250"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0" s="12" t="inlineStr">
        <is>
          <t>negative claim + contextual</t>
        </is>
      </c>
      <c r="E250" s="12" t="inlineStr">
        <is>
          <t>See C-5</t>
        </is>
      </c>
      <c r="F250" s="12" t="inlineStr">
        <is>
          <t>Note sec. 7, item 11</t>
        </is>
      </c>
      <c r="G250" s="12" t="inlineStr">
        <is>
          <t>Absence (litigation); bill status (legislation)</t>
        </is>
      </c>
      <c r="H250" s="12" t="inlineStr">
        <is>
          <t>Absence of a formal legal challenge to either rule; status of repeal bills aimed at the statute</t>
        </is>
      </c>
      <c r="I250" s="12" t="inlineStr">
        <is>
          <t>two dockets, trade coverage, congress.gov</t>
        </is>
      </c>
      <c r="J250" s="12" t="inlineStr">
        <is>
          <t>as of Sept 22, 2026</t>
        </is>
      </c>
      <c r="K250" s="12" t="inlineStr">
        <is>
          <t>n/a</t>
        </is>
      </c>
      <c r="L250" s="12" t="inlineStr">
        <is>
          <t>not scenario-dependent</t>
        </is>
      </c>
      <c r="M250"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0" s="12" t="inlineStr">
        <is>
          <t>SUPERSEDED — opposition limb broadened; replaced by NC-15 and TP-28</t>
        </is>
      </c>
    </row>
    <row r="251" ht="116.25" customHeight="1" s="10">
      <c r="A251" s="12" t="inlineStr">
        <is>
          <t>7. Negative claims</t>
        </is>
      </c>
      <c r="B251" s="13" t="inlineStr">
        <is>
          <t>NC-06</t>
        </is>
      </c>
      <c r="C251" s="12" t="inlineStr">
        <is>
          <t>Neither RIN appeared on OIRA's review list</t>
        </is>
      </c>
      <c r="D251" s="12" t="inlineStr">
        <is>
          <t>negative claim</t>
        </is>
      </c>
      <c r="E251" s="12" t="inlineStr">
        <is>
          <t>See C-6</t>
        </is>
      </c>
      <c r="F251" s="12" t="inlineStr">
        <is>
          <t>Note status box; note sec. 1 (Sept 5 check)</t>
        </is>
      </c>
      <c r="G251" s="12" t="inlineStr">
        <is>
          <t>Absence</t>
        </is>
      </c>
      <c r="H251" s="12" t="inlineStr">
        <is>
          <t>Regulatory review status</t>
        </is>
      </c>
      <c r="I251" s="12" t="inlineStr">
        <is>
          <t>both RINs: 0938-AV69 (CMS-2449-P) and 0938-AV93 (CMS-2452-P)</t>
        </is>
      </c>
      <c r="J251" s="12" t="inlineStr">
        <is>
          <t>as of Sept 21, 2026</t>
        </is>
      </c>
      <c r="K251" s="12" t="inlineStr">
        <is>
          <t>n/a</t>
        </is>
      </c>
      <c r="L251" s="12" t="inlineStr">
        <is>
          <t>not scenario-dependent</t>
        </is>
      </c>
      <c r="M251"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251" s="12" t="inlineStr">
        <is>
          <t>verified as scoped (C-6) — perishable; no longer stated in the note — re-checked October 13, 2026, second pass: OIRA's list of rules under review, run October 13, 2026, shows neither RIN (0938-AV69, 0938-AV93); the check can now be dated October 13, 2026.</t>
        </is>
      </c>
    </row>
    <row r="252" ht="116.25" customHeight="1" s="10">
      <c r="A252" s="12" t="inlineStr">
        <is>
          <t>7. Negative claims</t>
        </is>
      </c>
      <c r="B252" s="13" t="inlineStr">
        <is>
          <t>NC-07</t>
        </is>
      </c>
      <c r="C252" s="12" t="inlineStr">
        <is>
          <t>CMS's figures cover all providers, with no separate hospital figure: for the SDP rule CMS says it cannot attribute the impacts by provider type, and for the provider tax rule it expects the largest decreases to fall on hospitals</t>
        </is>
      </c>
      <c r="D252" s="12" t="inlineStr">
        <is>
          <t>negative claim [E]</t>
        </is>
      </c>
      <c r="E252" s="12" t="inlineStr">
        <is>
          <t>CMS-2449-P; CMS-2452-P</t>
        </is>
      </c>
      <c r="F252" s="12" t="inlineStr">
        <is>
          <t>Note sec. 4 (last paragraph); Executive summary; 91 FR 30462; 91 FR 46591</t>
        </is>
      </c>
      <c r="G252" s="12" t="inlineStr">
        <is>
          <t>Note sec. 4</t>
        </is>
      </c>
      <c r="H252" s="12" t="inlineStr">
        <is>
          <t>Absence of a hospital-specific row</t>
        </is>
      </c>
      <c r="I252" s="12" t="inlineStr">
        <is>
          <t>both RIAs</t>
        </is>
      </c>
      <c r="J252" s="12" t="inlineStr">
        <is>
          <t>as of Sept 6, 2026</t>
        </is>
      </c>
      <c r="K252" s="12" t="inlineStr">
        <is>
          <t>n/a</t>
        </is>
      </c>
      <c r="L252" s="12" t="inlineStr">
        <is>
          <t>not scenario-dependent</t>
        </is>
      </c>
      <c r="M252"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52" s="12" t="inlineStr">
        <is>
          <t>verified as scoped (C-7)</t>
        </is>
      </c>
    </row>
    <row r="253" ht="84.75" customHeight="1" s="10">
      <c r="A253" s="12" t="inlineStr">
        <is>
          <t>7. Negative claims</t>
        </is>
      </c>
      <c r="B253" s="13" t="inlineStr">
        <is>
          <t>NC-08</t>
        </is>
      </c>
      <c r="C253" s="12" t="inlineStr">
        <is>
          <t>THEIA Services found $56.6 billion in neither rule</t>
        </is>
      </c>
      <c r="D253" s="12" t="inlineStr">
        <is>
          <t>negative claim [I]</t>
        </is>
      </c>
      <c r="E253" s="12" t="inlineStr">
        <is>
          <t>See C-8</t>
        </is>
      </c>
      <c r="F253" s="12" t="inlineStr">
        <is>
          <t>Both RIAs; reconciliation worksheet; note sec. 5 (HFMA subsection)</t>
        </is>
      </c>
      <c r="G253" s="12" t="inlineStr">
        <is>
          <t>Note sec. 5</t>
        </is>
      </c>
      <c r="H253" s="12" t="inlineStr">
        <is>
          <t>Absence of the figure from the primary record</t>
        </is>
      </c>
      <c r="I253" s="12" t="inlineStr">
        <is>
          <t>both RIAs</t>
        </is>
      </c>
      <c r="J253" s="12" t="inlineStr">
        <is>
          <t>as of Sept 6, 2026</t>
        </is>
      </c>
      <c r="K253" s="12" t="inlineStr">
        <is>
          <t>n/a</t>
        </is>
      </c>
      <c r="L253" s="12" t="inlineStr">
        <is>
          <t>not scenario-dependent</t>
        </is>
      </c>
      <c r="M253"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53" s="12" t="inlineStr">
        <is>
          <t>verified as scoped (C-8) - re-checked against the worksheet</t>
        </is>
      </c>
    </row>
    <row r="254" ht="241.5" customHeight="1" s="10">
      <c r="A254" s="12" t="inlineStr">
        <is>
          <t>7. Negative claims</t>
        </is>
      </c>
      <c r="B254" s="13" t="inlineStr">
        <is>
          <t>NC-09</t>
        </is>
      </c>
      <c r="C254"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54" s="12" t="inlineStr">
        <is>
          <t>negative claim [E]/[I]</t>
        </is>
      </c>
      <c r="E254" s="12" t="inlineStr">
        <is>
          <t>See C-9</t>
        </is>
      </c>
      <c r="F254" s="12" t="inlineStr">
        <is>
          <t>Note sec. 9, item 10; App. F ('Draft note, who nets provider taxes')</t>
        </is>
      </c>
      <c r="G254" s="12" t="inlineStr">
        <is>
          <t>Note sec. 9, item 10</t>
        </is>
      </c>
      <c r="H254" s="12" t="inlineStr">
        <is>
          <t>Absence of a consistent multi-state net estimate</t>
        </is>
      </c>
      <c r="I254" s="12" t="inlineStr">
        <is>
          <t>national</t>
        </is>
      </c>
      <c r="J254" s="12" t="inlineStr">
        <is>
          <t>as of Sept 6, 2026 for the sector survey; as of Sept 22, 2026 for the CMS-2452-P record</t>
        </is>
      </c>
      <c r="K254" s="12" t="inlineStr">
        <is>
          <t>n/a</t>
        </is>
      </c>
      <c r="L254" s="12" t="inlineStr">
        <is>
          <t>not scenario-dependent</t>
        </is>
      </c>
      <c r="M254"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54" s="12" t="inlineStr">
        <is>
          <t>verified as scoped (C-9) — the posted record has since grown to 214 / 213 comments; the multi-state search was not re-run on it</t>
        </is>
      </c>
    </row>
    <row r="255" ht="189" customHeight="1" s="10">
      <c r="A255" s="12" t="inlineStr">
        <is>
          <t>7. Negative claims</t>
        </is>
      </c>
      <c r="B255" s="13" t="inlineStr">
        <is>
          <t>NC-10</t>
        </is>
      </c>
      <c r="C255" s="12" t="inlineStr">
        <is>
          <t>We located no public document reconciling the figures POLITICO assembled; that gap is what the note tries to fill</t>
        </is>
      </c>
      <c r="D255" s="12" t="inlineStr">
        <is>
          <t>negative claim</t>
        </is>
      </c>
      <c r="E255" s="12" t="inlineStr">
        <is>
          <t>See C-10</t>
        </is>
      </c>
      <c r="F255" s="12" t="inlineStr">
        <is>
          <t>Note sec. 3b</t>
        </is>
      </c>
      <c r="G255" s="12" t="inlineStr">
        <is>
          <t>Absence</t>
        </is>
      </c>
      <c r="H255" s="12" t="inlineStr">
        <is>
          <t>Absence of a reconciling document</t>
        </is>
      </c>
      <c r="I255" s="12" t="inlineStr">
        <is>
          <t>national</t>
        </is>
      </c>
      <c r="J255" s="12" t="inlineStr">
        <is>
          <t>as of Sept 6, 2026</t>
        </is>
      </c>
      <c r="K255" s="12" t="inlineStr">
        <is>
          <t>n/a</t>
        </is>
      </c>
      <c r="L255" s="12" t="inlineStr">
        <is>
          <t>not scenario-dependent</t>
        </is>
      </c>
      <c r="M255"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55" s="12" t="inlineStr">
        <is>
          <t>SUPERSEDED — POLITICO-reconciliation gap is no longer a note claim; replaced by NC-21</t>
        </is>
      </c>
    </row>
    <row r="256" ht="189" customHeight="1" s="10">
      <c r="A256" s="12" t="inlineStr">
        <is>
          <t>7. Negative claims</t>
        </is>
      </c>
      <c r="B256" s="13" t="inlineStr">
        <is>
          <t>NC-11</t>
        </is>
      </c>
      <c r="C256" s="12" t="inlineStr">
        <is>
          <t>The CBO inputs do not appear in the reconciliation worksheet, which covers only the two RIAs</t>
        </is>
      </c>
      <c r="D256" s="12" t="inlineStr">
        <is>
          <t>negative claim</t>
        </is>
      </c>
      <c r="E256" s="12" t="inlineStr">
        <is>
          <t>Worksheet coverage</t>
        </is>
      </c>
      <c r="F256" s="12" t="inlineStr">
        <is>
          <t>Note sec. 1</t>
        </is>
      </c>
      <c r="G256" s="12" t="inlineStr">
        <is>
          <t>Absence</t>
        </is>
      </c>
      <c r="H256" s="12" t="inlineStr">
        <is>
          <t>Scope limit of the worksheet</t>
        </is>
      </c>
      <c r="I256" s="12" t="inlineStr">
        <is>
          <t>worksheet only</t>
        </is>
      </c>
      <c r="J256" s="12" t="inlineStr">
        <is>
          <t>n/a</t>
        </is>
      </c>
      <c r="K256" s="12" t="inlineStr">
        <is>
          <t>n/a</t>
        </is>
      </c>
      <c r="L256" s="12" t="inlineStr">
        <is>
          <t>not scenario-dependent</t>
        </is>
      </c>
      <c r="M256"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56" s="12" t="inlineStr">
        <is>
          <t>SUPERSEDED — no longer a note claim; no replacement row</t>
        </is>
      </c>
    </row>
    <row r="257" ht="252" customHeight="1" s="10">
      <c r="A257" s="12" t="inlineStr">
        <is>
          <t>7. Negative claims</t>
        </is>
      </c>
      <c r="B257" s="13" t="inlineStr">
        <is>
          <t>NC-12</t>
        </is>
      </c>
      <c r="C257" s="12" t="inlineStr">
        <is>
          <t>THEIA Services does not assess whether rural hospitals are less able to absorb these changes; the studies cited track services, not hospital finances</t>
        </is>
      </c>
      <c r="D257" s="12" t="inlineStr">
        <is>
          <t>negative claim [I]</t>
        </is>
      </c>
      <c r="E257" s="12" t="inlineStr">
        <is>
          <t>See C-12 for full scope</t>
        </is>
      </c>
      <c r="F257" s="12" t="inlineStr">
        <is>
          <t>Note sec. 8 (rural subsection, last sentence); GAO-23-105515; Michelson et al., December 2024; Lindenfeld et al., PLoS Medicine, July 2025</t>
        </is>
      </c>
      <c r="G257" s="12" t="inlineStr">
        <is>
          <t>Note sec. 8</t>
        </is>
      </c>
      <c r="H257" s="12" t="inlineStr">
        <is>
          <t>Absence of support in the cited evidence base for a comparative claim about rural facility financial capacity</t>
        </is>
      </c>
      <c r="I257" s="12" t="inlineStr">
        <is>
          <t>the three cited sources only, not the literature</t>
        </is>
      </c>
      <c r="J257" s="12" t="inlineStr">
        <is>
          <t>as of Sept 6, 2026</t>
        </is>
      </c>
      <c r="K257" s="12" t="inlineStr">
        <is>
          <t>n/a</t>
        </is>
      </c>
      <c r="L257" s="12" t="inlineStr">
        <is>
          <t>not scenario-dependent</t>
        </is>
      </c>
      <c r="M257"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57" s="12" t="inlineStr">
        <is>
          <t>verified as scoped (C-12) - a claim about the cited sources, not about the literature</t>
        </is>
      </c>
    </row>
    <row r="258" ht="147.75" customHeight="1" s="10">
      <c r="A258" s="12" t="inlineStr">
        <is>
          <t>7. Negative claims</t>
        </is>
      </c>
      <c r="B258" s="13" t="inlineStr">
        <is>
          <t>NC-13</t>
        </is>
      </c>
      <c r="C258" s="12" t="inlineStr">
        <is>
          <t>The measurement discipline that would resolve most of the confusion sits across six sources, and the note found no place where it has been assembled</t>
        </is>
      </c>
      <c r="D258" s="12" t="inlineStr">
        <is>
          <t>negative claim</t>
        </is>
      </c>
      <c r="E258" s="12" t="inlineStr">
        <is>
          <t>See C-10</t>
        </is>
      </c>
      <c r="F258" s="12" t="inlineStr">
        <is>
          <t>Note sec. 3c</t>
        </is>
      </c>
      <c r="G258" s="12" t="inlineStr">
        <is>
          <t>Absence</t>
        </is>
      </c>
      <c r="H258" s="12" t="inlineStr">
        <is>
          <t>Absence of an assembled treatment</t>
        </is>
      </c>
      <c r="I258" s="12" t="inlineStr">
        <is>
          <t>the six named sources and the sector survey</t>
        </is>
      </c>
      <c r="J258" s="12" t="inlineStr">
        <is>
          <t>as of the note's date</t>
        </is>
      </c>
      <c r="K258" s="12" t="inlineStr">
        <is>
          <t>n/a</t>
        </is>
      </c>
      <c r="L258" s="12" t="inlineStr">
        <is>
          <t>not scenario-dependent</t>
        </is>
      </c>
      <c r="M258"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58" s="12" t="inlineStr">
        <is>
          <t>SUPERSEDED — six-source measurement-discipline negative is no longer a note claim; no replacement row</t>
        </is>
      </c>
    </row>
    <row r="259" ht="137.25" customHeight="1" s="10">
      <c r="A259" s="12" t="inlineStr">
        <is>
          <t>7. Negative claims</t>
        </is>
      </c>
      <c r="B259" s="13" t="inlineStr">
        <is>
          <t>NC-14</t>
        </is>
      </c>
      <c r="C259"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59" s="12" t="inlineStr">
        <is>
          <t>negative claim - summary</t>
        </is>
      </c>
      <c r="E259" s="12" t="inlineStr">
        <is>
          <t>See C-1, C-2, C-3, C-11</t>
        </is>
      </c>
      <c r="F259" s="12" t="inlineStr">
        <is>
          <t>Note sec. 6, gap table</t>
        </is>
      </c>
      <c r="G259" s="12" t="inlineStr">
        <is>
          <t>Gap table</t>
        </is>
      </c>
      <c r="H259" s="12" t="inlineStr">
        <is>
          <t>Status of each data need</t>
        </is>
      </c>
      <c r="I259" s="12" t="inlineStr">
        <is>
          <t>national</t>
        </is>
      </c>
      <c r="J259" s="12" t="inlineStr">
        <is>
          <t>as of Sept 22, 2026</t>
        </is>
      </c>
      <c r="K259" s="12" t="inlineStr">
        <is>
          <t>n/a</t>
        </is>
      </c>
      <c r="L259" s="12" t="inlineStr">
        <is>
          <t>not scenario-dependent</t>
        </is>
      </c>
      <c r="M259"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59" s="12" t="inlineStr">
        <is>
          <t>SUPERSEDED — six-gap table is no longer in the note; replaced by NC-19</t>
        </is>
      </c>
    </row>
    <row r="260" ht="189" customHeight="1" s="10">
      <c r="A260" s="12" t="inlineStr">
        <is>
          <t>7. Negative claims</t>
        </is>
      </c>
      <c r="B260" s="13" t="inlineStr">
        <is>
          <t>NC-15</t>
        </is>
      </c>
      <c r="C260" s="12" t="inlineStr">
        <is>
          <t>As of September 22, 2026, THEIA Services located no lawsuit challenging either rule. Two July 2025 bills to repeal the underlying provisions, S. 2279 (Sections 71115 and 71116) and H.R. 4807 (Section 71115), had not advanced beyond committee referral</t>
        </is>
      </c>
      <c r="D260" s="12" t="inlineStr">
        <is>
          <t>negative claim + contextual [I]/[E]</t>
        </is>
      </c>
      <c r="E260" s="12" t="inlineStr">
        <is>
          <t>See C-5; POLITICO</t>
        </is>
      </c>
      <c r="F260" s="12" t="inlineStr">
        <is>
          <t>Note sec. 9, item 7; App. I ('Draft note, dates and bills'); congress.gov</t>
        </is>
      </c>
      <c r="G260" s="12" t="inlineStr">
        <is>
          <t>Note sec. 9, item 7; App. I</t>
        </is>
      </c>
      <c r="H260" s="12" t="inlineStr">
        <is>
          <t>Legal and legislative challenge status</t>
        </is>
      </c>
      <c r="I260" s="12" t="inlineStr">
        <is>
          <t>two dockets, trade coverage, congress.gov</t>
        </is>
      </c>
      <c r="J260" s="12" t="inlineStr">
        <is>
          <t>as of Sept 22, 2026</t>
        </is>
      </c>
      <c r="K260" s="12" t="inlineStr">
        <is>
          <t>n/a</t>
        </is>
      </c>
      <c r="L260" s="12" t="inlineStr">
        <is>
          <t>not scenario-dependent</t>
        </is>
      </c>
      <c r="M260"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 VERIFIED October 13, 2026 (verification_v4_log.md): govinfo BILLSTATUS XML for S. 2279 and H.R. 4807 (119th Congress), retrieved October 13, 2026: latest action is the July 2025 referral for each; S. 2279 repeals the provider tax and SDP changes, H.R. 4807 the provider tax changes. This supports the bill limb at a later date than September 22, 2026. The litigation limb ([I]) was not re-searched: courtlistener.com was refused.</t>
        </is>
      </c>
      <c r="N260" s="12" t="inlineStr">
        <is>
          <t>verified as scoped (C-5) — perishable; re-checked October 13, 2026: govinfo bill status shows S. 2279 (July 15, 2025, Finance) and H.R. 4807 (July 29, 2025, Energy and Commerce) with no action after referral.</t>
        </is>
      </c>
    </row>
    <row r="261" ht="63.75" customHeight="1" s="10">
      <c r="A261" s="12" t="inlineStr">
        <is>
          <t>7. Negative claims</t>
        </is>
      </c>
      <c r="B261" s="13" t="inlineStr">
        <is>
          <t>NC-16</t>
        </is>
      </c>
      <c r="C261" s="12" t="inlineStr">
        <is>
          <t>THEIA Services found no separate estimate of what the provider tax rule adds to Section 71115</t>
        </is>
      </c>
      <c r="D261" s="12" t="inlineStr">
        <is>
          <t>negative claim [I]</t>
        </is>
      </c>
      <c r="E261" s="12" t="inlineStr">
        <is>
          <t>THEIA Services search</t>
        </is>
      </c>
      <c r="F261" s="12" t="inlineStr">
        <is>
          <t>Note sec. 3 (first paragraph)</t>
        </is>
      </c>
      <c r="G261" s="12" t="inlineStr">
        <is>
          <t>Note sec. 3</t>
        </is>
      </c>
      <c r="H261" s="12" t="inlineStr">
        <is>
          <t>Absence of an estimate separating the rule's effect from the statute's</t>
        </is>
      </c>
      <c r="I261" s="12" t="inlineStr">
        <is>
          <t>CMS-2452-P RIA; national</t>
        </is>
      </c>
      <c r="J261" s="12" t="inlineStr">
        <is>
          <t>as of the note's date</t>
        </is>
      </c>
      <c r="K261" s="12" t="inlineStr">
        <is>
          <t>n/a</t>
        </is>
      </c>
      <c r="L261" s="12" t="inlineStr">
        <is>
          <t>not scenario-dependent</t>
        </is>
      </c>
      <c r="M261"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61" s="12" t="inlineStr">
        <is>
          <t>single-source — THEIA Services' search result; no search record in the verification files</t>
        </is>
      </c>
    </row>
    <row r="262" ht="137.25" customHeight="1" s="10">
      <c r="A262" s="12" t="inlineStr">
        <is>
          <t>7. Negative claims</t>
        </is>
      </c>
      <c r="B262" s="13" t="inlineStr">
        <is>
          <t>NC-17</t>
        </is>
      </c>
      <c r="C262" s="12" t="inlineStr">
        <is>
          <t>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is>
      </c>
      <c r="D262" s="12" t="inlineStr">
        <is>
          <t>negative claim [E]/[I]</t>
        </is>
      </c>
      <c r="E262" s="12" t="inlineStr">
        <is>
          <t>regulations.gov v4 API; comment texts</t>
        </is>
      </c>
      <c r="F262" s="12" t="inlineStr">
        <is>
          <t>Note App. G ('Draft note, comment records'); comments CMS-2026-2476-0079, -0148, -0116, -0109, -0057</t>
        </is>
      </c>
      <c r="G262" s="12" t="inlineStr">
        <is>
          <t>Note App. G</t>
        </is>
      </c>
      <c r="H262" s="12" t="inlineStr">
        <is>
          <t>Whether the $681 billion appears in the posted comment records, and which September 21 letters are now posted</t>
        </is>
      </c>
      <c r="I262" s="12" t="inlineStr">
        <is>
          <t>both dockets, snapshot October 7, 2026; one comment, one distinct text, in both docket views</t>
        </is>
      </c>
      <c r="J262" s="12" t="inlineStr">
        <is>
          <t>snapshot October 7, 2026</t>
        </is>
      </c>
      <c r="K262" s="12" t="inlineStr">
        <is>
          <t>n/a</t>
        </is>
      </c>
      <c r="L262" s="12" t="inlineStr">
        <is>
          <t>not scenario-dependent</t>
        </is>
      </c>
      <c r="M262"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t>
        </is>
      </c>
      <c r="N262" s="12" t="inlineStr">
        <is>
          <t>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row>
    <row r="263" ht="63.75" customHeight="1" s="10">
      <c r="A263" s="12" t="inlineStr">
        <is>
          <t>7. Negative claims</t>
        </is>
      </c>
      <c r="B263" s="13" t="inlineStr">
        <is>
          <t>NC-18</t>
        </is>
      </c>
      <c r="C263" s="12" t="inlineStr">
        <is>
          <t>THEIA Services located no current public source of SDP financing in dollars by source and by state, or showing how states will fund SDPs going forward; the most recent state-by-state dollar figures cover 2022 (GAO-24-106202, Table 4)</t>
        </is>
      </c>
      <c r="D263" s="12" t="inlineStr">
        <is>
          <t>negative claim [I]/[E]</t>
        </is>
      </c>
      <c r="E263" s="12" t="inlineStr">
        <is>
          <t>THEIA Services search; GAO</t>
        </is>
      </c>
      <c r="F263" s="12" t="inlineStr">
        <is>
          <t>Note sec. 2 (last paragraph); Executive summary (floor paragraph); sec. 4 (step 3 gap)</t>
        </is>
      </c>
      <c r="G263" s="12" t="inlineStr">
        <is>
          <t>Note sec. 2: 'THEIA Services located no current public source of SDP financing in dollars by source and by state'</t>
        </is>
      </c>
      <c r="H263" s="12" t="inlineStr">
        <is>
          <t>Absence of a source for the funding split behind the $264.7B step 3 ceiling</t>
        </is>
      </c>
      <c r="I263" s="12" t="inlineStr">
        <is>
          <t>national and state level</t>
        </is>
      </c>
      <c r="J263" s="12" t="inlineStr">
        <is>
          <t>as of the note's date</t>
        </is>
      </c>
      <c r="K263" s="12" t="inlineStr">
        <is>
          <t>n/a</t>
        </is>
      </c>
      <c r="L263" s="12" t="inlineStr">
        <is>
          <t>not scenario-dependent</t>
        </is>
      </c>
      <c r="M263"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is>
      </c>
      <c r="N263" s="12" t="inlineStr">
        <is>
          <t>single-source — THEIA Services' search result; GAO-24-106202 Table 4 not re-read (TP-30)</t>
        </is>
      </c>
    </row>
    <row r="264" ht="63.75" customHeight="1" s="10">
      <c r="A264" s="12" t="inlineStr">
        <is>
          <t>7. Negative claims</t>
        </is>
      </c>
      <c r="B264" s="13" t="inlineStr">
        <is>
          <t>NC-19</t>
        </is>
      </c>
      <c r="C264" s="12" t="inlineStr">
        <is>
          <t>Appendix C is outlined as covering the five data gaps, including the facility-level limit; what the SDP preprint reports about financing (Section VI: sources by checkbox, IGT dollars by entity, no provider tax dollars); GAO-24-106202 Table 4; and MACPAC's 2024 program counts</t>
        </is>
      </c>
      <c r="D264" s="12" t="inlineStr">
        <is>
          <t>negative claim - summary [I]</t>
        </is>
      </c>
      <c r="E264" s="12" t="inlineStr">
        <is>
          <t>Note App. C (outline)</t>
        </is>
      </c>
      <c r="F264" s="12" t="inlineStr">
        <is>
          <t>Note App. C</t>
        </is>
      </c>
      <c r="G264" s="12" t="inlineStr">
        <is>
          <t>Note App. C outline: 'Limits of the analysis and the five data gaps, including the facility-level limit'</t>
        </is>
      </c>
      <c r="H264" s="12" t="inlineStr">
        <is>
          <t>Status of each data need</t>
        </is>
      </c>
      <c r="I264" s="12" t="inlineStr">
        <is>
          <t>national</t>
        </is>
      </c>
      <c r="J264" s="12" t="inlineStr">
        <is>
          <t>as of the note's date</t>
        </is>
      </c>
      <c r="K264" s="12" t="inlineStr">
        <is>
          <t>n/a</t>
        </is>
      </c>
      <c r="L264" s="12" t="inlineStr">
        <is>
          <t>not scenario-dependent</t>
        </is>
      </c>
      <c r="M264"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is>
      </c>
      <c r="N264" s="12" t="inlineStr">
        <is>
          <t>unresolved — outline only; the five gaps are not listed in v17</t>
        </is>
      </c>
    </row>
    <row r="265" ht="42.75" customHeight="1" s="10">
      <c r="A265" s="12" t="inlineStr">
        <is>
          <t>7. Negative claims</t>
        </is>
      </c>
      <c r="B265" s="13" t="inlineStr">
        <is>
          <t>NC-20</t>
        </is>
      </c>
      <c r="C265" s="12" t="inlineStr">
        <is>
          <t>No comment reports a filed suit against either rule</t>
        </is>
      </c>
      <c r="D265" s="12" t="inlineStr">
        <is>
          <t>negative claim [I]</t>
        </is>
      </c>
      <c r="E265" s="12" t="inlineStr">
        <is>
          <t>regulations.gov comment records</t>
        </is>
      </c>
      <c r="F265" s="12" t="inlineStr">
        <is>
          <t>Note App. I ('Draft note, the legal record')</t>
        </is>
      </c>
      <c r="G265" s="12" t="inlineStr">
        <is>
          <t>Note App. I</t>
        </is>
      </c>
      <c r="H265" s="12" t="inlineStr">
        <is>
          <t>Absence of a reported lawsuit in the comment records</t>
        </is>
      </c>
      <c r="I265" s="12" t="inlineStr">
        <is>
          <t>both dockets, snapshot October 7, 2026</t>
        </is>
      </c>
      <c r="J265" s="12" t="inlineStr">
        <is>
          <t>snapshot October 7, 2026</t>
        </is>
      </c>
      <c r="K265" s="12" t="inlineStr">
        <is>
          <t>n/a</t>
        </is>
      </c>
      <c r="L265" s="12" t="inlineStr">
        <is>
          <t>not scenario-dependent</t>
        </is>
      </c>
      <c r="M265" s="12" t="inlineStr">
        <is>
          <t>Keyword-based; the Loper Bright counts it accompanies are at TP-40. Complements NC-15, whose litigation limb rests on trade coverage and docket searches as of September 22, 2026. Comment-analyst output; not re-run in the verification files.</t>
        </is>
      </c>
      <c r="N265" s="12" t="inlineStr">
        <is>
          <t>single-source — comment-analyst keyword search; approximate</t>
        </is>
      </c>
    </row>
    <row r="266" ht="74.25" customHeight="1" s="10">
      <c r="A266" s="12" t="inlineStr">
        <is>
          <t>7. Negative claims</t>
        </is>
      </c>
      <c r="B266" s="13" t="inlineStr">
        <is>
          <t>NC-21</t>
        </is>
      </c>
      <c r="C266" s="12" t="inlineStr">
        <is>
          <t>THEIA Services found no published estimate of the combined net loss to providers from the two rules</t>
        </is>
      </c>
      <c r="D266" s="12" t="inlineStr">
        <is>
          <t>negative claim [I]</t>
        </is>
      </c>
      <c r="E266" s="12" t="inlineStr">
        <is>
          <t>THEIA Services search</t>
        </is>
      </c>
      <c r="F266" s="12" t="inlineStr">
        <is>
          <t>Note Executive summary (second paragraph); sec. 4</t>
        </is>
      </c>
      <c r="G266" s="12" t="inlineStr">
        <is>
          <t>Note Executive summary</t>
        </is>
      </c>
      <c r="H266" s="12" t="inlineStr">
        <is>
          <t>Absence of a published combined estimate</t>
        </is>
      </c>
      <c r="I266" s="12" t="inlineStr">
        <is>
          <t>national</t>
        </is>
      </c>
      <c r="J266" s="12" t="inlineStr">
        <is>
          <t>as of the note's date</t>
        </is>
      </c>
      <c r="K266" s="12" t="inlineStr">
        <is>
          <t>n/a</t>
        </is>
      </c>
      <c r="L266" s="12" t="inlineStr">
        <is>
          <t>not scenario-dependent</t>
        </is>
      </c>
      <c r="M266"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66" s="12" t="inlineStr">
        <is>
          <t>single-source — THEIA Services' search result</t>
        </is>
      </c>
    </row>
    <row r="267" ht="199.5" customHeight="1" s="10">
      <c r="A267" s="12" t="inlineStr">
        <is>
          <t>8. Figures</t>
        </is>
      </c>
      <c r="B267" s="13" t="inlineStr">
        <is>
          <t>FG-01</t>
        </is>
      </c>
      <c r="C26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67" s="12" t="inlineStr">
        <is>
          <t>figure</t>
        </is>
      </c>
      <c r="E267" s="12" t="inlineStr">
        <is>
          <t>Both RIAs</t>
        </is>
      </c>
      <c r="F267" s="12" t="inlineStr">
        <is>
          <t>Note sec. 2 ([Figure 1] caption); source line as ledgered: "Tables 18-20 (91 FR 30451-52); Table 11 (91 FR 46591); 91 FR 46592."</t>
        </is>
      </c>
      <c r="G267" s="12" t="inlineStr">
        <is>
          <t>Note [Figure 1] caption</t>
        </is>
      </c>
      <c r="H267" s="12" t="inlineStr">
        <is>
          <t>Overlap between the two rules' Medicaid spending reductions</t>
        </is>
      </c>
      <c r="I267" s="12" t="inlineStr">
        <is>
          <t>total computable</t>
        </is>
      </c>
      <c r="J267" s="12" t="inlineStr">
        <is>
          <t>FY2026–2035</t>
        </is>
      </c>
      <c r="K267" s="12" t="inlineStr">
        <is>
          <t>real 2026 dollars</t>
        </is>
      </c>
      <c r="L267" s="12" t="inlineStr">
        <is>
          <t>primary</t>
        </is>
      </c>
      <c r="M26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67" s="12" t="inlineStr">
        <is>
          <t>verified with caveat — caption only in v17; artwork not supplied, so plotted values not re-checked</t>
        </is>
      </c>
    </row>
    <row r="268" ht="189" customHeight="1" s="10">
      <c r="A268" s="12" t="inlineStr">
        <is>
          <t>8. Figures</t>
        </is>
      </c>
      <c r="B268" s="13" t="inlineStr">
        <is>
          <t>FG-02</t>
        </is>
      </c>
      <c r="C26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68" s="12" t="inlineStr">
        <is>
          <t>figure</t>
        </is>
      </c>
      <c r="E268" s="12" t="inlineStr">
        <is>
          <t>CMS-2452-P</t>
        </is>
      </c>
      <c r="F268" s="12" t="inlineStr">
        <is>
          <t>Note sec. 4 ([Figure 2] caption); source line as ledgered: "Tables 12 and 14 (91 FR 46592-93)."</t>
        </is>
      </c>
      <c r="G268" s="12" t="inlineStr">
        <is>
          <t>Note [Figure 2] caption</t>
        </is>
      </c>
      <c r="H268" s="12" t="inlineStr">
        <is>
          <t>Four-party transfer accounts, standalone and interaction-inclusive</t>
        </is>
      </c>
      <c r="I268" s="12" t="inlineStr">
        <is>
          <t>all four parties</t>
        </is>
      </c>
      <c r="J268" s="12" t="inlineStr">
        <is>
          <t>FY2026–2035</t>
        </is>
      </c>
      <c r="K268" s="12" t="inlineStr">
        <is>
          <t>real 2026 dollars</t>
        </is>
      </c>
      <c r="L268" s="12" t="inlineStr">
        <is>
          <t>primary</t>
        </is>
      </c>
      <c r="M26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68" s="12" t="inlineStr">
        <is>
          <t>verified with caveat — caption only in v17; artwork not supplied; party values not re-checked against it</t>
        </is>
      </c>
    </row>
    <row r="269" ht="199.5" customHeight="1" s="10">
      <c r="A269" s="12" t="inlineStr">
        <is>
          <t>8. Figures</t>
        </is>
      </c>
      <c r="B269" s="13" t="inlineStr">
        <is>
          <t>FG-03</t>
        </is>
      </c>
      <c r="C26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69" s="12" t="inlineStr">
        <is>
          <t>figure</t>
        </is>
      </c>
      <c r="E269" s="12" t="inlineStr">
        <is>
          <t>CMS-2452-P</t>
        </is>
      </c>
      <c r="F269" s="12" t="inlineStr">
        <is>
          <t>Note sec. 4 ([Figure 3] caption); source line as ledgered: "Table 11 (91 FR 46591); Table 8 (91 FR 46590); Table 12 (91 FR 46592); narrative, 91 FR 46592; Table 14 (91 FR 46593)."</t>
        </is>
      </c>
      <c r="G269" s="12" t="inlineStr">
        <is>
          <t>Note [Figure 3] caption</t>
        </is>
      </c>
      <c r="H269" s="12" t="inlineStr">
        <is>
          <t>Bridge between the two net provider figures</t>
        </is>
      </c>
      <c r="I269" s="12" t="inlineStr">
        <is>
          <t>provider aggregate</t>
        </is>
      </c>
      <c r="J269" s="12" t="inlineStr">
        <is>
          <t>FY2026–2035</t>
        </is>
      </c>
      <c r="K269" s="12" t="inlineStr">
        <is>
          <t>real 2026 dollars</t>
        </is>
      </c>
      <c r="L269" s="12" t="inlineStr">
        <is>
          <t>primary</t>
        </is>
      </c>
      <c r="M26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69" s="12" t="inlineStr">
        <is>
          <t>verified with caveat — caption only in v17; artwork not supplied; the earlier noise-floor caveat is moot</t>
        </is>
      </c>
    </row>
    <row r="270" ht="126.75" customHeight="1" s="10">
      <c r="A270" s="12" t="inlineStr">
        <is>
          <t>8. Figures</t>
        </is>
      </c>
      <c r="B270" s="13" t="inlineStr">
        <is>
          <t>FG-04</t>
        </is>
      </c>
      <c r="C27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70" s="12" t="inlineStr">
        <is>
          <t>figure</t>
        </is>
      </c>
      <c r="E270" s="12" t="inlineStr">
        <is>
          <t>CMS-2452-P</t>
        </is>
      </c>
      <c r="F270" s="12" t="inlineStr">
        <is>
          <t>Source line: "Tables 15-18 (91 FR 46593-94); narrative, 91 FR 46592."</t>
        </is>
      </c>
      <c r="G270" s="12" t="inlineStr">
        <is>
          <t>Subtitle: "Provider payment reduction already attributed to the SDP rule, $ billions. CMS prints only the primary figure."</t>
        </is>
      </c>
      <c r="H270" s="12" t="inlineStr">
        <is>
          <t>Overlap by scenario and as a share of the standalone cut</t>
        </is>
      </c>
      <c r="I270" s="12" t="inlineStr">
        <is>
          <t>provider aggregate, total computable</t>
        </is>
      </c>
      <c r="J270" s="12" t="inlineStr">
        <is>
          <t>FY2026–2035</t>
        </is>
      </c>
      <c r="K270" s="12" t="inlineStr">
        <is>
          <t>real 2026 dollars</t>
        </is>
      </c>
      <c r="L270" s="12" t="inlineStr">
        <is>
          <t>low / primary / high</t>
        </is>
      </c>
      <c r="M27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70" s="12" t="inlineStr">
        <is>
          <t>SUPERSEDED — v17 has no Figure 4; derived overlaps are in the App. D outline without a figure</t>
        </is>
      </c>
    </row>
    <row r="271" ht="95.25" customHeight="1" s="10">
      <c r="A271" s="12" t="inlineStr">
        <is>
          <t>8. Figures</t>
        </is>
      </c>
      <c r="B271" s="13" t="inlineStr">
        <is>
          <t>FG-05</t>
        </is>
      </c>
      <c r="C271" s="12" t="inlineStr">
        <is>
          <t>Figure 5. "Provider tax rule only: its net provider effect crosses zero across scenarios." Values: excluding / including the overlap: low −$135.0B / +$149.6B; primary −$220.3B / +$21.7B; high −$316.5B / −$136.1B. Note: counting both rules, provider payments fall in every scenario</t>
        </is>
      </c>
      <c r="D271" s="12" t="inlineStr">
        <is>
          <t>figure</t>
        </is>
      </c>
      <c r="E271" s="12" t="inlineStr">
        <is>
          <t>CMS-2452-P</t>
        </is>
      </c>
      <c r="F271" s="12" t="inlineStr">
        <is>
          <t>Note App. D (outline: 'with Figure 5'); source line as ledgered: "Tables 12 and 14 to 18 (91 FR 46592-94)."</t>
        </is>
      </c>
      <c r="G271" s="12" t="inlineStr">
        <is>
          <t>Note App. D outline</t>
        </is>
      </c>
      <c r="H271" s="12" t="inlineStr">
        <is>
          <t>Net provider position by scenario and overlap treatment</t>
        </is>
      </c>
      <c r="I271" s="12" t="inlineStr">
        <is>
          <t>provider aggregate</t>
        </is>
      </c>
      <c r="J271" s="12" t="inlineStr">
        <is>
          <t>FY2026–2035</t>
        </is>
      </c>
      <c r="K271" s="12" t="inlineStr">
        <is>
          <t>real 2026 dollars</t>
        </is>
      </c>
      <c r="L271" s="12" t="inlineStr">
        <is>
          <t>low / primary / high</t>
        </is>
      </c>
      <c r="M27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is>
      </c>
      <c r="N271" s="12" t="inlineStr">
        <is>
          <t>verified — values match the App. D outline; artwork and caption not in v17</t>
        </is>
      </c>
    </row>
    <row r="272" ht="189" customHeight="1" s="10">
      <c r="A272" s="12" t="inlineStr">
        <is>
          <t>8. Figures</t>
        </is>
      </c>
      <c r="B272" s="13" t="inlineStr">
        <is>
          <t>FG-06</t>
        </is>
      </c>
      <c r="C272" s="12" t="inlineStr">
        <is>
          <t>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is>
      </c>
      <c r="D272" s="12" t="inlineStr">
        <is>
          <t>figure</t>
        </is>
      </c>
      <c r="E272" s="12" t="inlineStr">
        <is>
          <t>KFF, as grouped by THEIA Services</t>
        </is>
      </c>
      <c r="F272" s="12" t="inlineStr">
        <is>
          <t>Note sec. 6 ([Figure 6] caption and table source line): "THEIA Services' grouping from KFF's August 2026 state file and Medicaid expansion tracker; KFF does not use these groups."</t>
        </is>
      </c>
      <c r="G272" s="12" t="inlineStr">
        <is>
          <t>Note [Figure 6] caption</t>
        </is>
      </c>
      <c r="H272" s="12" t="inlineStr">
        <is>
          <t>Structural grouping by mechanism reach, not expected impact</t>
        </is>
      </c>
      <c r="I272" s="12" t="inlineStr">
        <is>
          <t>state level</t>
        </is>
      </c>
      <c r="J272" s="12" t="inlineStr">
        <is>
          <t>Aug 2026 files</t>
        </is>
      </c>
      <c r="K272" s="12" t="inlineStr">
        <is>
          <t>n/a</t>
        </is>
      </c>
      <c r="L272" s="12" t="inlineStr">
        <is>
          <t>not scenario-dependent</t>
        </is>
      </c>
      <c r="M27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 CORRECTED October 14, 2026, third pass (verification_v4_log.md): Counts match KFF's chart data: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Non-expansion states: 10. Dollar panel matches (SE-12). But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Colorado's SDP above the new limits (SE-09) also affects the Group E layer. Retrieval: each chart's base URL (https://datawrapper.dwcdn.net/&lt;id&gt;/) answers with a meta-refresh to its current version; the versioned page and its dataset.csv were downloaded with curl on October 14, 2026 and matched by script.</t>
        </is>
      </c>
      <c r="N272" s="12" t="inlineStr">
        <is>
          <t>corrected — source says: “Arkansas Yes Ambulance (5.51%-6.0%)” (KFF, Aug 20, 2026, provider-tax appendix table (https://datawrapper.dwcdn.net/q3dXL/7/dataset.csv)). v17 must change Figures (see verification_v4_log.md). Base status was verified with caveat — caption only in v17; artwork not supplied; dollar panel rests on SE-12, which is single-source; re-checked October 14, 2026, third pass.</t>
        </is>
      </c>
    </row>
    <row r="273" ht="126.75" customHeight="1" s="10">
      <c r="A273" s="12" t="inlineStr">
        <is>
          <t>8. Figures</t>
        </is>
      </c>
      <c r="B273" s="13" t="inlineStr">
        <is>
          <t>FG-07</t>
        </is>
      </c>
      <c r="C273" s="12" t="inlineStr">
        <is>
          <t>Figure 7. "Pediatric inpatient units fell faster than adult units from 2008 to 2022, in one national study." Values: index 2008 = 100; 2022 pediatric units 70.1, pediatric beds 80.5, adult units 95.6 (no adult bed series in source)</t>
        </is>
      </c>
      <c r="D273" s="12" t="inlineStr">
        <is>
          <t>figure</t>
        </is>
      </c>
      <c r="E273" s="12" t="inlineStr">
        <is>
          <t>Michelson et al.</t>
        </is>
      </c>
      <c r="F273" s="12" t="inlineStr">
        <is>
          <t>Note sec. 8 ([Figure 7] caption); source line as ledgered: "Michelson et al., December 2024."</t>
        </is>
      </c>
      <c r="G273" s="12" t="inlineStr">
        <is>
          <t>Note [Figure 7] caption</t>
        </is>
      </c>
      <c r="H273" s="12" t="inlineStr">
        <is>
          <t>Change in pediatric and adult inpatient capacity</t>
        </is>
      </c>
      <c r="I273" s="12" t="inlineStr">
        <is>
          <t>national</t>
        </is>
      </c>
      <c r="J273" s="12" t="inlineStr">
        <is>
          <t>2008–2022</t>
        </is>
      </c>
      <c r="K273" s="12" t="inlineStr">
        <is>
          <t>n/a</t>
        </is>
      </c>
      <c r="L273" s="12" t="inlineStr">
        <is>
          <t>not scenario-dependent</t>
        </is>
      </c>
      <c r="M27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 CORRECTED October 14, 2026, third pass (verification_v4_log.md): Michelson et al., 'National Trends in Pediatric Inpatient Capacity', JAMA Pediatrics, published online December 2, 2024, 2025;179(2):208-209 (user-supplied copy: 2962057f-National_Trends_in_Pediatric_Inpatient_...trics___JAMA_Pediatrics___JAMA_Network.pdf), Results, matched by script. PMC was not needed: the attached copy was used. The three index values follow from the paper: 100 - 29.9 = 70.1, 100 - 19.5 = 80.5, 100 - 4.4 = 95.6. But the Claim column's '(no adult bed series in source)' differs from the paper, which reports adult beds falling 3.0%.</t>
        </is>
      </c>
      <c r="N273" s="12" t="inlineStr">
        <is>
          <t>corrected — source says: “Adult inpatient units decreased from 4519 to 4318, declining 4.4% (95% CI, 0.4%-8.4%), and beds decreased from 405 908 to 393 802” (Michelson et al., JAMA Pediatrics, Dec 2, 2024, Results; user-supplied copy: 2962057f-National_Trends_in_Pediatric_Inpatient_...trics___JAMA_Pediatrics___JAMA_Network.pdf). v17 must change Figures (see verification_v4_log.md). Base status was single-source - one study (AC-10); caption only in v17; re-checked October 14, 2026, third pass.</t>
        </is>
      </c>
    </row>
    <row r="274" ht="157.5" customHeight="1" s="10">
      <c r="A274" s="12" t="inlineStr">
        <is>
          <t>8. Figures</t>
        </is>
      </c>
      <c r="B274" s="13" t="inlineStr">
        <is>
          <t>FG-08</t>
        </is>
      </c>
      <c r="C274" s="12" t="inlineStr">
        <is>
          <t>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is>
      </c>
      <c r="D274" s="12" t="inlineStr">
        <is>
          <t>figure</t>
        </is>
      </c>
      <c r="E274" s="12" t="inlineStr">
        <is>
          <t>Lindenfeld et al.</t>
        </is>
      </c>
      <c r="F274" s="12" t="inlineStr">
        <is>
          <t>Note sec. 8 ([Figure 8] caption); source line as ledgered: "Lindenfeld et al., PLoS Medicine, 2025."</t>
        </is>
      </c>
      <c r="G274" s="12" t="inlineStr">
        <is>
          <t>Note [Figure 8] caption</t>
        </is>
      </c>
      <c r="H274" s="12" t="inlineStr">
        <is>
          <t>Psychiatric beds per 100,000 by facility type</t>
        </is>
      </c>
      <c r="I274" s="12" t="inlineStr">
        <is>
          <t>national</t>
        </is>
      </c>
      <c r="J274" s="12" t="inlineStr">
        <is>
          <t>2011–2023</t>
        </is>
      </c>
      <c r="K274" s="12" t="inlineStr">
        <is>
          <t>n/a</t>
        </is>
      </c>
      <c r="L274" s="12" t="inlineStr">
        <is>
          <t>not scenario-dependent</t>
        </is>
      </c>
      <c r="M27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 CORRECTED October 13, 2026 (verification_v4_log.md): see AC-08, AC-07 and AC-11;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t>
        </is>
      </c>
      <c r="N274" s="12" t="inlineStr">
        <is>
          <t>corrected — source says: “For all types of IPBs, the average annual percent change over the study period was not significant” (Lindenfeld et al., Results ¶1); the paper's regression models find a significant decline (Tables 2–3). The [Figure 8] caption's 'no statistically significant trend for any type of bed' must be narrowed (see verification_v4_log.md and AC-08). Values 28.1/28.4 and 16.8/19.5 match; 11.3/9.06 match the abstract only (AC-11). Read via the PubMed connector, not script-matched. Base status was single-source.</t>
        </is>
      </c>
    </row>
    <row r="275" ht="126.75" customHeight="1" s="10">
      <c r="A275" s="12" t="inlineStr">
        <is>
          <t>8. Figures</t>
        </is>
      </c>
      <c r="B275" s="13" t="inlineStr">
        <is>
          <t>FG-09</t>
        </is>
      </c>
      <c r="C275" s="12" t="inlineStr">
        <is>
          <t>Figure 9. "Hospital SDP rate detail: about half is imputed." Values: rate detail available $38.4B (49%); imputed $39.6B (51%); 35 of 131 preprints lacked payment levels</t>
        </is>
      </c>
      <c r="D275" s="12" t="inlineStr">
        <is>
          <t>figure</t>
        </is>
      </c>
      <c r="E275" s="12" t="inlineStr">
        <is>
          <t>KFF</t>
        </is>
      </c>
      <c r="F275" s="12" t="inlineStr">
        <is>
          <t>Source line: "KFF August 2026 SDP file."</t>
        </is>
      </c>
      <c r="G275" s="12" t="inlineStr">
        <is>
          <t>Subtitle: "Federal hospital SDP spending covered by KFF's hospital analysis, $ billions."</t>
        </is>
      </c>
      <c r="H275" s="12" t="inlineStr">
        <is>
          <t>Split of analyzed spending by rate-detail availability</t>
        </is>
      </c>
      <c r="I275" s="12" t="inlineStr">
        <is>
          <t>federal, hospital only</t>
        </is>
      </c>
      <c r="J275" s="12" t="inlineStr">
        <is>
          <t>FFY2025</t>
        </is>
      </c>
      <c r="K275" s="12" t="inlineStr">
        <is>
          <t>nominal</t>
        </is>
      </c>
      <c r="L275" s="12" t="inlineStr">
        <is>
          <t>not scenario-dependent</t>
        </is>
      </c>
      <c r="M27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75" s="12" t="inlineStr">
        <is>
          <t>SUPERSEDED — v17 has no Figure 9; KFF imputation split is no longer a note claim</t>
        </is>
      </c>
    </row>
  </sheetData>
  <autoFilter ref="A1:N275"/>
  <conditionalFormatting sqref="N2:N275">
    <cfRule type="expression" rank="0" priority="2" equalAverage="0" aboveAverage="0" dxfId="8" text="" percent="0" bottom="0">
      <formula>ISNUMBER(SEARCH("NEEDS VERIFICATION",$N2))</formula>
    </cfRule>
  </conditionalFormatting>
  <conditionalFormatting sqref="A2:N27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'not found' or 'blocked: &lt;host&gt;', and after the second pass the host is followed by '(site refused)', '(login)' or '(network policy)'. After the October 14, 2026 third pass, 'partly checked' marks a row with one limb checked and another still pending; its flag stays.</t>
        </is>
      </c>
    </row>
    <row r="12" ht="230" customHeight="1" s="10">
      <c r="A12" s="15" t="inlineStr">
        <is>
          <t>Coverage caveat</t>
        </is>
      </c>
      <c r="B12" s="15" t="inlineStr">
        <is>
          <t>Updated October 13, 2026, and on October 14, 2026 (third pass, parts 1 and 2). Verification of the NEEDS VERIFICATION rows; details in verification_v4_log.md. All 91 flagged rows were checked, in order: [CM] Federal Register pinpoints, [DL4] comment IDs, [DL3] re-check list, the unresolved row AC-14. Each claim was compared with the primary source the row names, and every quotation and matched phrase was found by script in the downloaded text, except four rows on one journal article read through the PubMed connector (Federal Register and statute: govinfo.gov PDFs and HTML, with OCR for tables printed as images; comments: regulations.gov API and attachments). Outcome: 71 rows match and lose the flag (26 upgraded, for example single-source to verified); 18 differ and are marked corrected, with the source's wording (24 words or fewer), the pinpoint and what v17 must change; 2 keep the flag with 'blocked: &lt;host&gt;' or 'not found'. No row text other than the Cross-check and Status columns was changed, except the Status of SB-09 and SB-14 and the Cross-check of the other rows that cite the CBO files (third pass, part 2), and RM-25, whose Claim, Primary source, Exact citation and Time horizon were edited on October 14, 2026 as instructed (citation moved from Fierce Healthcare to the Texas Tribune, September 17, 2026; 'about two and a half weeks' changed to 'about two weeks'). A second pass on October 13, after the network policy was opened, re-ran the 47 rows blocked in the first pass: 24 now match, 4 are corrected and 19 stay blocked (politico.com, fiercehealthcare.com, jamanetwork.com, gao.gov, medicaid.gov and cbo.gov refused at the site; datawrapper.dwcdn.net, which serves KFF's state-level chart data, was refused by the network policy); the figures above include it. A remaining flag now ends 'blocked: &lt;host&gt; (site refused)', '(login)' or '(network policy)'. A third pass on October 14, 2026 (part 1 of 2) re-ran the 19 rows still blocked and SE-09's remaining limbs: copies the user supplied of the POLITICO article (September 2, 2026), GAO-24-106202, GAO-23-105515, the SDP preprint template and Michelson et al. (JAMA Pediatrics) were read and matched by script, and KFF's state-level chart data were downloaded from datawrapper.dwcdn.net; 13 now match, 7 are corrected, and SB-18 was partly checked, its CBO limb left for part 2. Part 2, the same day, read the two CBO files the user supplied (the July 21, 2025 estimate's spreadsheet, publication 61570, and the October 28, 2025 supplemental estimate, publication 61837), matched by script: SB-18's CBO limb matches, so SB-18 loses its flag; of the 7 rows that were not flagged but cite either file, SB-14 is corrected (its October 28 citation and its inflation wording are not supported by that file), SB-09 gains a caveat (CBO prints no deficit figure for Section 71116) and the rest match; their Cross-check notes record it. The counts above cover the 91 flagged rows and include both parts; with SB-14, the Legend counts 19 corrected rows. The appendix title line now names THEIA Services instead of the [FIRM] placeholder.</t>
        </is>
      </c>
    </row>
    <row r="13" ht="117.75" customHeight="1" s="10">
      <c r="A13" s="15" t="n"/>
      <c r="B13"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4" ht="23.25" customHeight="1" s="10">
      <c r="A14" s="15" t="n"/>
      <c r="B14" s="15" t="inlineStr">
        <is>
          <t>The reconciliation worksheet (C1) is now available; all 47 distinct R-numbers cited in the note and this ledger have been verified against it. The state indicator file (C2) remains unavailable.</t>
        </is>
      </c>
    </row>
    <row r="15" ht="23.25" customHeight="1" s="10">
      <c r="A15" s="15" t="n"/>
      <c r="B15" s="15" t="inlineStr">
        <is>
          <t>Worksheet row identifiers (R0702 etc.) have been resolved against the worksheet and match on rule, table, Federal Register page, value and series; they are no longer carried forward unverified.</t>
        </is>
      </c>
    </row>
    <row r="16" ht="15" customHeight="1" s="10">
      <c r="A16" s="15" t="n"/>
      <c r="B16" s="15" t="inlineStr">
        <is>
          <t>State cross-checks were performed against the state tier file (C4); all state counts reproduce exactly.</t>
        </is>
      </c>
    </row>
    <row r="17" ht="15" customHeight="1" s="10">
      <c r="A17" s="15" t="n"/>
      <c r="B17" s="15" t="n"/>
    </row>
    <row r="18" ht="15" customHeight="1" s="10">
      <c r="A18" s="15" t="inlineStr">
        <is>
          <t>Rows</t>
        </is>
      </c>
      <c r="B18" s="15">
        <f>COUNTA('Section A - Findings'!$B$2:$B$275)</f>
        <v/>
      </c>
    </row>
    <row r="19" ht="15" customHeight="1" s="10">
      <c r="A19" s="15" t="inlineStr">
        <is>
          <t>Unresolved</t>
        </is>
      </c>
      <c r="B19" s="15">
        <f>COUNTIF('Section A - Findings'!$N$2:$N$275,"unresolved*")</f>
        <v/>
      </c>
    </row>
    <row r="20" ht="15" customHeight="1" s="10">
      <c r="A20" s="15" t="inlineStr">
        <is>
          <t>Single-source</t>
        </is>
      </c>
      <c r="B20" s="15">
        <f>COUNTIF('Section A - Findings'!$N$2:$N$275,"single-source*")</f>
        <v/>
      </c>
    </row>
    <row r="21" ht="15" customHeight="1" s="10">
      <c r="A21" s="15" t="inlineStr">
        <is>
          <t>Superseded</t>
        </is>
      </c>
      <c r="B21" s="15">
        <f>COUNTIF('Section A - Findings'!$N$2:$N$275,"SUPERSEDED*")</f>
        <v/>
      </c>
    </row>
    <row r="22" ht="15" customHeight="1" s="10">
      <c r="A22" s="15" t="inlineStr">
        <is>
          <t>Corrected</t>
        </is>
      </c>
      <c r="B22" s="15">
        <f>COUNTIF('Section A - Findings'!$N$2:$N$275,"corrected*")</f>
        <v/>
      </c>
    </row>
    <row r="23" ht="15" customHeight="1" s="10">
      <c r="A23" s="15" t="inlineStr">
        <is>
          <t>Needs verification</t>
        </is>
      </c>
      <c r="B23" s="15">
        <f>COUNTIF('Section A - Findings'!$N$2:$N$275,"*NEEDS VERIFICATION*")</f>
        <v/>
      </c>
    </row>
    <row r="24" ht="15" customHeight="1" s="10">
      <c r="A24" s="15" t="inlineStr">
        <is>
          <t xml:space="preserve">  tagged DL3</t>
        </is>
      </c>
      <c r="B24" s="15">
        <f>COUNTIF('Section A - Findings'!$N$2:$N$275,"*[DL3]*")</f>
        <v/>
      </c>
    </row>
    <row r="25" ht="15" customHeight="1" s="10">
      <c r="A25" s="15" t="inlineStr">
        <is>
          <t xml:space="preserve">  tagged DL4</t>
        </is>
      </c>
      <c r="B25" s="15">
        <f>COUNTIF('Section A - Findings'!$N$2:$N$275,"*[DL4]*")</f>
        <v/>
      </c>
    </row>
    <row r="26" ht="15" customHeight="1" s="10">
      <c r="A26" s="15" t="inlineStr">
        <is>
          <t xml:space="preserve">  tagged CM</t>
        </is>
      </c>
      <c r="B26" s="15">
        <f>COUNTIF('Section A - Findings'!$N$2:$N$275,"*[CM]*")</f>
        <v/>
      </c>
    </row>
    <row r="27" ht="15" customHeight="1" s="10">
      <c r="A27" s="15" t="inlineStr">
        <is>
          <t xml:space="preserve">  blocked</t>
        </is>
      </c>
      <c r="B27" s="15">
        <f>COUNTIF('Section A - Findings'!$N$2:$N$275,"*NEEDS VERIFICATION*blocked:*")</f>
        <v/>
      </c>
    </row>
    <row r="28" ht="15" customHeight="1" s="10">
      <c r="A28" s="15" t="inlineStr">
        <is>
          <t xml:space="preserve">  not found</t>
        </is>
      </c>
      <c r="B28" s="15">
        <f>COUNTIF('Section A - Findings'!$N$2:$N$275,"*NEEDS VERIFICATION*not found*")</f>
        <v/>
      </c>
    </row>
    <row r="29" ht="78" customHeight="1" s="10">
      <c r="A29"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t>
        </is>
      </c>
    </row>
    <row r="30"/>
    <row r="31"/>
    <row r="32"/>
    <row r="33"/>
    <row r="34"/>
    <row r="35"/>
    <row r="36"/>
    <row r="37"/>
    <row r="38"/>
    <row r="39"/>
  </sheetData>
  <mergeCells count="1">
    <mergeCell ref="A29:B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2026-10-14T22:44:29Z</dcterms:modified>
  <cp:revision>0</cp:revision>
</cp:coreProperties>
</file>