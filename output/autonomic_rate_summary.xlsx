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By_code_payer" sheetId="2" state="visible" r:id="rId4"/>
    <sheet name="Battery" sheetId="3" state="visible" r:id="rId5"/>
    <sheet name="Multiples" sheetId="4" state="visible" r:id="rId6"/>
    <sheet name="Focus_payers" sheetId="5" state="visible" r:id="rId7"/>
    <sheet name="Coverage" sheetId="6" state="visible" r:id="rId8"/>
    <sheet name="Reconciliation" sheetId="7" state="visible" r:id="rId9"/>
    <sheet name="Medicare_check" sheetId="8" state="visible" r:id="rId10"/>
    <sheet name="QA" sheetId="9" state="visible" r:id="rId11"/>
    <sheet name="Reference" sheetId="10" state="visible" r:id="rId12"/>
    <sheet name="Rates_data" sheetId="11" state="visible" r:id="rId13"/>
  </sheets>
  <definedNames>
    <definedName function="false" hidden="true" localSheetId="2" name="_xlnm._FilterDatabase" vbProcedure="false">Battery!$A$4:$P$33</definedName>
    <definedName function="false" hidden="true" localSheetId="1" name="_xlnm._FilterDatabase" vbProcedure="false">By_code_payer!$A$4:$P$62</definedName>
    <definedName function="false" hidden="true" localSheetId="4" name="_xlnm._FilterDatabase" vbProcedure="false">Focus_payers!$A$4:$R$59</definedName>
    <definedName function="false" hidden="true" localSheetId="10" name="_xlnm._FilterDatabase" vbProcedure="false">Rates_data!$A$1:$AH$75</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User-stated 142.57 = 95.23 + 47.34. Used as the approximate physician fee: the physician group's own rate is not in hospital MRFs.</t>
        </r>
      </text>
    </comment>
    <comment ref="D10" authorId="0">
      <text>
        <r>
          <rPr>
            <sz val="10"/>
            <rFont val="Arial"/>
            <family val="2"/>
          </rPr>
          <t xml:space="preserve">User-stated global 316.15 = 174.79 + 141.36 (independent-site Medicare global for the battery). Recomputed here from the rows above.</t>
        </r>
      </text>
    </comment>
    <comment ref="E24" authorId="0">
      <text>
        <r>
          <rPr>
            <sz val="10"/>
            <rFont val="Arial"/>
            <family val="2"/>
          </rPr>
          <t xml:space="preserve">CMS applies the wage index to 60% of the OPPS rate (labour-related share). Used only in Medicare_check.</t>
        </r>
      </text>
    </comment>
  </commentList>
</comments>
</file>

<file path=xl/sharedStrings.xml><?xml version="1.0" encoding="utf-8"?>
<sst xmlns="http://schemas.openxmlformats.org/spreadsheetml/2006/main" count="2679" uniqueCount="432">
  <si>
    <t xml:space="preserve">Autonomic function testing — hospital price transparency summary</t>
  </si>
  <si>
    <t xml:space="preserve">Scope</t>
  </si>
  <si>
    <t xml:space="preserve">CPT 95921, 95922, 95923, 95924 (autonomic function tests) and 93660 (tilt table, context). Hospitals: MGH, Brigham and Women's, BW Faulkner, Wentworth-Douglass, BIDMC.</t>
  </si>
  <si>
    <t xml:space="preserve">Source</t>
  </si>
  <si>
    <t xml:space="preserve">Hospital machine-readable files (CMS HPT, schema v3.0.0) found via each system's cms-hpt.txt; normalised in hpt_autonomic_rates.csv (Rates_data tab).</t>
  </si>
  <si>
    <t xml:space="preserve">IMPORTANT</t>
  </si>
  <si>
    <t xml:space="preserve">These are HOSPITAL FACILITY rates (hospital outpatient department). They bound independent-site rates from above. They are NOT AutoLabs' expected rates.</t>
  </si>
  <si>
    <t xml:space="preserve">OPPS Addendum B</t>
  </si>
  <si>
    <t xml:space="preserve">CY2026 OPPS Addendum B (July 2026 update) rates are NATIONAL and UNADJUSTED for the Massachusetts wage index.</t>
  </si>
  <si>
    <t xml:space="preserve">Physician fee</t>
  </si>
  <si>
    <t xml:space="preserve">The 142.57 physician component is the Medicare MPFS professional component (95924 PC 95.23 + 95923 PC 47.34), used as an APPROXIMATION: physician-group rates are not in hospital files.</t>
  </si>
  <si>
    <t xml:space="preserve">Headline figures</t>
  </si>
  <si>
    <t xml:space="preserve">Where a row carries median / 10th / 90th percentile allowed amounts and a count, the median allowed amount (what was actually paid) is the headline; otherwise the negotiated rate.</t>
  </si>
  <si>
    <t xml:space="preserve">Medicare packaging</t>
  </si>
  <si>
    <t xml:space="preserve">95923 has OPPS status indicator Q1: when billed on the same claim as 95924 (SI S) it is packaged and not paid separately. Battery tab shows Medicare both with packaging applied and as listed.</t>
  </si>
  <si>
    <t xml:space="preserve">Comparator</t>
  </si>
  <si>
    <t xml:space="preserve">Medicare facility comparator = the hospital's own Medicare FFS (APC-priced) row where listed; OPPS Addendum B national otherwise (always for BIDMC). Cross-check in Medicare_check.</t>
  </si>
  <si>
    <t xml:space="preserve">Colour key</t>
  </si>
  <si>
    <t xml:space="preserve">Blue text = input value; green text = link to another sheet; black = formula; yellow fill = key derived total.</t>
  </si>
  <si>
    <t xml:space="preserve">Tabs</t>
  </si>
  <si>
    <t xml:space="preserve">By_code_payer · Battery · Multiples · Focus_payers · Coverage · Reconciliation · Medicare_check · QA · Reference · Rates_data</t>
  </si>
  <si>
    <t xml:space="preserve">Outpatient facility rates by hospital, code and payer (plans grouped within payer and segment)</t>
  </si>
  <si>
    <t xml:space="preserve">Included rows only (see QA). Headline = median allowed amount where the file gives one (what was actually paid), otherwise the median negotiated rate. All cells are formulas over Rates_data.</t>
  </si>
  <si>
    <t xml:space="preserve">Hospital</t>
  </si>
  <si>
    <t xml:space="preserve">Code</t>
  </si>
  <si>
    <t xml:space="preserve">Payer (as in file)</t>
  </si>
  <si>
    <t xml:space="preserve">Payer family</t>
  </si>
  <si>
    <t xml:space="preserve">Segment</t>
  </si>
  <si>
    <t xml:space="preserve">Plan count</t>
  </si>
  <si>
    <t xml:space="preserve">Min implied $</t>
  </si>
  <si>
    <t xml:space="preserve">Median implied $</t>
  </si>
  <si>
    <t xml:space="preserve">Max implied $</t>
  </si>
  <si>
    <t xml:space="preserve">Share percentage-based</t>
  </si>
  <si>
    <t xml:space="preserve">Median allowed (median of plan medians)</t>
  </si>
  <si>
    <t xml:space="preserve">Lowest 10th pct allowed</t>
  </si>
  <si>
    <t xml:space="preserve">Highest 90th pct allowed</t>
  </si>
  <si>
    <t xml:space="preserve">Allowed counts (as in file)</t>
  </si>
  <si>
    <t xml:space="preserve">Headline rate</t>
  </si>
  <si>
    <t xml:space="preserve">Headline basis</t>
  </si>
  <si>
    <t xml:space="preserve">Massachusetts General Hospital</t>
  </si>
  <si>
    <t xml:space="preserve">95921</t>
  </si>
  <si>
    <t xml:space="preserve">UNITED HEALTHCARE [1016]</t>
  </si>
  <si>
    <t xml:space="preserve">UnitedHealthcare</t>
  </si>
  <si>
    <t xml:space="preserve">Commercial</t>
  </si>
  <si>
    <t xml:space="preserve">1 through 10</t>
  </si>
  <si>
    <t xml:space="preserve">95923</t>
  </si>
  <si>
    <t xml:space="preserve">AETNA [1001]</t>
  </si>
  <si>
    <t xml:space="preserve">Aetna</t>
  </si>
  <si>
    <t xml:space="preserve">CIGNA ALTERNATE [1018]</t>
  </si>
  <si>
    <t xml:space="preserve">Cigna</t>
  </si>
  <si>
    <t xml:space="preserve">CIGNA [1006]</t>
  </si>
  <si>
    <t xml:space="preserve">17</t>
  </si>
  <si>
    <t xml:space="preserve">INTERNATIONAL COMMERCIAL [140001]</t>
  </si>
  <si>
    <t xml:space="preserve">International commercial</t>
  </si>
  <si>
    <t xml:space="preserve">MGB HEALTH PLAN [150001]</t>
  </si>
  <si>
    <t xml:space="preserve">Mass General Brigham Health Plan</t>
  </si>
  <si>
    <t xml:space="preserve">13; 36</t>
  </si>
  <si>
    <t xml:space="preserve">1 through 10; 18</t>
  </si>
  <si>
    <t xml:space="preserve">WELLPOINT [1015]</t>
  </si>
  <si>
    <t xml:space="preserve">Wellpoint</t>
  </si>
  <si>
    <t xml:space="preserve">95924</t>
  </si>
  <si>
    <t xml:space="preserve">18</t>
  </si>
  <si>
    <t xml:space="preserve">1 through 10; 17</t>
  </si>
  <si>
    <t xml:space="preserve">COMMONWEALTH CARE ALLIANCE [1007]</t>
  </si>
  <si>
    <t xml:space="preserve">Commonwealth Care Alliance</t>
  </si>
  <si>
    <t xml:space="preserve">MassHealth / dual managed care</t>
  </si>
  <si>
    <t xml:space="preserve">BLUE CROSS BLUE SHIELD [110001]</t>
  </si>
  <si>
    <t xml:space="preserve">Blue Cross Blue Shield of MA</t>
  </si>
  <si>
    <t xml:space="preserve">Medicare Advantage</t>
  </si>
  <si>
    <t xml:space="preserve">HUMANA [1012]</t>
  </si>
  <si>
    <t xml:space="preserve">Humana</t>
  </si>
  <si>
    <t xml:space="preserve">TUFTS HEALTH PLAN [170001]</t>
  </si>
  <si>
    <t xml:space="preserve">Tufts Health Plan</t>
  </si>
  <si>
    <t xml:space="preserve">MEDICARE [2001]</t>
  </si>
  <si>
    <t xml:space="preserve">Medicare</t>
  </si>
  <si>
    <t xml:space="preserve">Medicare FFS</t>
  </si>
  <si>
    <t xml:space="preserve">84</t>
  </si>
  <si>
    <t xml:space="preserve">TRICARE [160005]</t>
  </si>
  <si>
    <t xml:space="preserve">TRICARE</t>
  </si>
  <si>
    <t xml:space="preserve">Brigham and Women's Faulkner Hospital</t>
  </si>
  <si>
    <t xml:space="preserve">15</t>
  </si>
  <si>
    <t xml:space="preserve">HEALTH NEW ENGLAND [1034]</t>
  </si>
  <si>
    <t xml:space="preserve">Health New England</t>
  </si>
  <si>
    <t xml:space="preserve">1 through 10; 22</t>
  </si>
  <si>
    <t xml:space="preserve">CENTERS OF EXCELLENCE [1026]</t>
  </si>
  <si>
    <t xml:space="preserve">Centers of Excellence</t>
  </si>
  <si>
    <t xml:space="preserve">1 through 10; 21</t>
  </si>
  <si>
    <t xml:space="preserve">12</t>
  </si>
  <si>
    <t xml:space="preserve">MARTIN'S POINT [160007]</t>
  </si>
  <si>
    <t xml:space="preserve">Martin's Point</t>
  </si>
  <si>
    <t xml:space="preserve">121</t>
  </si>
  <si>
    <t xml:space="preserve">Beth Israel Deaconess Medical Center</t>
  </si>
  <si>
    <t xml:space="preserve">93660</t>
  </si>
  <si>
    <t xml:space="preserve">BCBS</t>
  </si>
  <si>
    <t xml:space="preserve">Harvard Pilgrim Healthcare</t>
  </si>
  <si>
    <t xml:space="preserve">Harvard Pilgrim / Point32Health</t>
  </si>
  <si>
    <t xml:space="preserve">Unicare</t>
  </si>
  <si>
    <t xml:space="preserve">Unicare (GIC)</t>
  </si>
  <si>
    <t xml:space="preserve">95922</t>
  </si>
  <si>
    <t xml:space="preserve">Full autonomic battery: 95924 + 95923 facility rate, same payer/plan, plus approximate physician fee</t>
  </si>
  <si>
    <t xml:space="preserve">Physician fee = Medicare PC 142.57 (Reference). It is an APPROXIMATION: the physician group's negotiated rate is not published in hospital MRFs.</t>
  </si>
  <si>
    <t xml:space="preserve">Payer</t>
  </si>
  <si>
    <t xml:space="preserve">Plan</t>
  </si>
  <si>
    <t xml:space="preserve">Pricing basis</t>
  </si>
  <si>
    <t xml:space="preserve">95924 negotiated</t>
  </si>
  <si>
    <t xml:space="preserve">95923 negotiated</t>
  </si>
  <si>
    <t xml:space="preserve">Facility battery (negotiated)</t>
  </si>
  <si>
    <t xml:space="preserve">95924 median allowed</t>
  </si>
  <si>
    <t xml:space="preserve">95923 median allowed</t>
  </si>
  <si>
    <t xml:space="preserve">Facility battery (allowed)</t>
  </si>
  <si>
    <t xml:space="preserve">Headline facility battery</t>
  </si>
  <si>
    <t xml:space="preserve">Approx. physician fee (Medicare PC, approximation)</t>
  </si>
  <si>
    <t xml:space="preserve">Approx. total battery cost</t>
  </si>
  <si>
    <t xml:space="preserve">Note</t>
  </si>
  <si>
    <t xml:space="preserve">Hospital Medicare FFS row, OPPS packaging applied (95923 = 0)</t>
  </si>
  <si>
    <t xml:space="preserve">95923 is SI Q1: packaged with 95924 (SI S) on the same claim, no separate payment. Faulkner's own 95923 row says it is only paid if highest rate.</t>
  </si>
  <si>
    <t xml:space="preserve">Hospital 95924 row + OPPS national 95923 (not listed in file)</t>
  </si>
  <si>
    <t xml:space="preserve">File lists no Medicare row for 95923; national unadjusted Addendum B rate substituted and flagged.</t>
  </si>
  <si>
    <t xml:space="preserve">Medicare (reference)</t>
  </si>
  <si>
    <t xml:space="preserve">OPPS national (Addendum B), packaging applied (95923 = 0)</t>
  </si>
  <si>
    <t xml:space="preserve">National, unadjusted for MA wage index.</t>
  </si>
  <si>
    <t xml:space="preserve">OPPS national (Addendum B), as listed</t>
  </si>
  <si>
    <t xml:space="preserve">National, unadjusted for MA wage index; no packaging.</t>
  </si>
  <si>
    <t xml:space="preserve">HB AMC AETNA HMO</t>
  </si>
  <si>
    <t xml:space="preserve">Hospital file, same payer/plan</t>
  </si>
  <si>
    <t xml:space="preserve">HB AMC CIGNA NEW BUSINESS DISCOUNT</t>
  </si>
  <si>
    <t xml:space="preserve">HB AMC CIGNA HMO / PPO</t>
  </si>
  <si>
    <t xml:space="preserve">HB AMC / MEE / PCC / ONE TEAM HEALTH INTERNATIONAL</t>
  </si>
  <si>
    <t xml:space="preserve">HB AMC MGBHP COMMERCIAL HMO</t>
  </si>
  <si>
    <t xml:space="preserve">HB AMC MGBHP COMMERCIAL PPO</t>
  </si>
  <si>
    <t xml:space="preserve">HB AMC CH UNITED NEW BUSINESS DISCOUNT</t>
  </si>
  <si>
    <t xml:space="preserve">HB AMC UNITED PPO / POS</t>
  </si>
  <si>
    <t xml:space="preserve">HB AMC WELLPOINT</t>
  </si>
  <si>
    <t xml:space="preserve">Hospital Medicare FFS rows, as listed (no packaging)</t>
  </si>
  <si>
    <t xml:space="preserve">Sum of listed APC prices; overstates Medicare payment when billed together.</t>
  </si>
  <si>
    <t xml:space="preserve">HB CH CIGNA HMO / PPO</t>
  </si>
  <si>
    <t xml:space="preserve">HB CH CLARITEV (PRIMARY PPO)</t>
  </si>
  <si>
    <t xml:space="preserve">HB CH UNITED HMO / PPO / INDEMNITY</t>
  </si>
  <si>
    <t xml:space="preserve">HB CH WELLPOINT</t>
  </si>
  <si>
    <t xml:space="preserve">HB BWF MEDICARE</t>
  </si>
  <si>
    <t xml:space="preserve">APC-priced MA plan; 95923 likely packaged in practice (Q1).</t>
  </si>
  <si>
    <t xml:space="preserve">HMO</t>
  </si>
  <si>
    <t xml:space="preserve">PPO</t>
  </si>
  <si>
    <t xml:space="preserve">Self Insured Non LCU All Commercial Plans</t>
  </si>
  <si>
    <t xml:space="preserve">Commercial summary by hospital (medians across commercial payer/plan pairs)</t>
  </si>
  <si>
    <t xml:space="preserve">Commercial pairs</t>
  </si>
  <si>
    <t xml:space="preserve">Median headline facility battery</t>
  </si>
  <si>
    <t xml:space="preserve">Median negotiated facility battery</t>
  </si>
  <si>
    <t xml:space="preserve">Median approx. total battery cost</t>
  </si>
  <si>
    <t xml:space="preserve">Min headline</t>
  </si>
  <si>
    <t xml:space="preserve">Max headline</t>
  </si>
  <si>
    <t xml:space="preserve">Brigham and Women's Hospital</t>
  </si>
  <si>
    <t xml:space="preserve">Wentworth-Douglass Hospital</t>
  </si>
  <si>
    <t xml:space="preserve">Multiples of Medicare</t>
  </si>
  <si>
    <t xml:space="preserve">A: each included facility rate / OPPS national (Addendum B, unadjusted for MA wage index) and / the hospital's own Medicare FFS row. B: approximate total battery cost / 316.15 (independent-site MPFS global).</t>
  </si>
  <si>
    <t xml:space="preserve">A. Facility rate multiples</t>
  </si>
  <si>
    <t xml:space="preserve">Implied facility rate</t>
  </si>
  <si>
    <t xml:space="preserve">OPPS national rate</t>
  </si>
  <si>
    <t xml:space="preserve">Multiple of OPPS national</t>
  </si>
  <si>
    <t xml:space="preserve">Hospital Medicare FFS row (same code)</t>
  </si>
  <si>
    <t xml:space="preserve">Multiple of hospital Medicare row</t>
  </si>
  <si>
    <t xml:space="preserve">not listed</t>
  </si>
  <si>
    <t xml:space="preserve">HB MGH COMMONWEALTH CARE ALLIANCE</t>
  </si>
  <si>
    <t xml:space="preserve">HB MGH MEDICARE</t>
  </si>
  <si>
    <t xml:space="preserve">HB MGH TUFTS MEDICARE REPLACEMENT</t>
  </si>
  <si>
    <t xml:space="preserve">HB MGH UNITED MEDICARE REPLACEMENT</t>
  </si>
  <si>
    <t xml:space="preserve">HB MGH TRICARE</t>
  </si>
  <si>
    <t xml:space="preserve">HB BWF UNITED MEDICARE REPLACEMENT</t>
  </si>
  <si>
    <t xml:space="preserve">HB BWF TUFTS + COMM CARE ALLIANCE MCARE</t>
  </si>
  <si>
    <t xml:space="preserve">HB BWF TRICARE</t>
  </si>
  <si>
    <t xml:space="preserve">GIC Wellpoint All Commercial Plans</t>
  </si>
  <si>
    <t xml:space="preserve">B. Battery: approximate total cost (hospital facility + 142.57 physician approximation) / 316.15 independent-site Medicare global</t>
  </si>
  <si>
    <t xml:space="preserve">MPFS global (independent site)</t>
  </si>
  <si>
    <t xml:space="preserve">Site-of-service multiple</t>
  </si>
  <si>
    <t xml:space="preserve">Focus payers — all included rows</t>
  </si>
  <si>
    <t xml:space="preserve">MassHealth managed care: only Commonwealth Care Alliance (One Care / SCO dual plans) appears; no MassHealth ACO or WellSense rows exist for these codes in any file.</t>
  </si>
  <si>
    <t xml:space="preserve">Focus group</t>
  </si>
  <si>
    <t xml:space="preserve">Setting</t>
  </si>
  <si>
    <t xml:space="preserve">Methodology</t>
  </si>
  <si>
    <t xml:space="preserve">Negotiated / implied $</t>
  </si>
  <si>
    <t xml:space="preserve">Percentage of charges</t>
  </si>
  <si>
    <t xml:space="preserve">Median allowed</t>
  </si>
  <si>
    <t xml:space="preserve">10th pct allowed</t>
  </si>
  <si>
    <t xml:space="preserve">90th pct allowed</t>
  </si>
  <si>
    <t xml:space="preserve">Allowed count</t>
  </si>
  <si>
    <t xml:space="preserve">Medicare comparator</t>
  </si>
  <si>
    <t xml:space="preserve">Multiple of comparator</t>
  </si>
  <si>
    <t xml:space="preserve">Blue Cross Blue Shield of Massachusetts</t>
  </si>
  <si>
    <t xml:space="preserve">outpatient</t>
  </si>
  <si>
    <t xml:space="preserve">fee schedule</t>
  </si>
  <si>
    <t xml:space="preserve">not listed at any hospital for these codes</t>
  </si>
  <si>
    <t xml:space="preserve">both</t>
  </si>
  <si>
    <t xml:space="preserve">percent of total billed charges</t>
  </si>
  <si>
    <t xml:space="preserve">MassHealth managed-care plans</t>
  </si>
  <si>
    <t xml:space="preserve">other</t>
  </si>
  <si>
    <t xml:space="preserve">Medicare Advantage plans</t>
  </si>
  <si>
    <t xml:space="preserve">Coverage: does the hospital file list rows for 95923 / 95924?</t>
  </si>
  <si>
    <t xml:space="preserve">Commercial rows for the seven commercial focus payers; any rows for MassHealth managed care, Medicare Advantage and Medicare FFS. 'not listed' = no row in the hospital's MRF.</t>
  </si>
  <si>
    <t xml:space="preserve">Focus payer</t>
  </si>
  <si>
    <t xml:space="preserve">Rows counted</t>
  </si>
  <si>
    <t xml:space="preserve">MGH 95923</t>
  </si>
  <si>
    <t xml:space="preserve">MGH 95924</t>
  </si>
  <si>
    <t xml:space="preserve">BWH 95923</t>
  </si>
  <si>
    <t xml:space="preserve">BWH 95924</t>
  </si>
  <si>
    <t xml:space="preserve">BWFH 95923</t>
  </si>
  <si>
    <t xml:space="preserve">BWFH 95924</t>
  </si>
  <si>
    <t xml:space="preserve">WDH 95923</t>
  </si>
  <si>
    <t xml:space="preserve">WDH 95924</t>
  </si>
  <si>
    <t xml:space="preserve">BIDMC 95923</t>
  </si>
  <si>
    <t xml:space="preserve">BIDMC 95924</t>
  </si>
  <si>
    <t xml:space="preserve">Commercial rows</t>
  </si>
  <si>
    <t xml:space="preserve">MassHealth / dual managed care rows</t>
  </si>
  <si>
    <t xml:space="preserve">Medicare Advantage rows</t>
  </si>
  <si>
    <t xml:space="preserve">Medicare fee-for-service</t>
  </si>
  <si>
    <t xml:space="preserve">Medicare FFS rows</t>
  </si>
  <si>
    <t xml:space="preserve">MGH's file lists NO Medicare fee-for-service row for 95923, although Medicare pays for 95923 (Q1: separately payable when not billed with an S/T/V code; Faulkner lists an APC price of $153.08). MGH's de-identified minimum for 95923 ($145.42) is below every listed payer rate, consistent with an unlisted low (Medicare-type) payer.</t>
  </si>
  <si>
    <t xml:space="preserve">Brigham and Women's Hospital and Wentworth-Douglass Hospital list no rows for any of the five codes, for any payer.</t>
  </si>
  <si>
    <t xml:space="preserve">Blue Cross Blue Shield of MA and Harvard Pilgrim appear commercially only at BIDMC. In MGB files BCBS appears only on a Medicare (Advantage) plan; Harvard Pilgrim does not appear for these codes.</t>
  </si>
  <si>
    <t xml:space="preserve">Tufts Health Plan appears only on Medicare Advantage ('Medicare replacement') plans.</t>
  </si>
  <si>
    <t xml:space="preserve">Reconciliation: Medicare FFS rows in hospital files vs CY2024 Medicare claims patient counts</t>
  </si>
  <si>
    <t xml:space="preserve">Patient counts supplied by the user (blue). MRF 'count' = number of allowed amounts in the file's look-back period; it counts claims/lines, not patients, and the period is not necessarily CY2024.</t>
  </si>
  <si>
    <t xml:space="preserve">Hospital (clinicians)</t>
  </si>
  <si>
    <t xml:space="preserve">CY2024 Medicare patients (user)</t>
  </si>
  <si>
    <t xml:space="preserve">Medicare FFS rows in MRF</t>
  </si>
  <si>
    <t xml:space="preserve">MRF allowed-amount count (Medicare FFS)</t>
  </si>
  <si>
    <t xml:space="preserve">MRF Medicare FFS rate</t>
  </si>
  <si>
    <t xml:space="preserve">Medicare Advantage rows in MRF</t>
  </si>
  <si>
    <t xml:space="preserve">Assessment</t>
  </si>
  <si>
    <t xml:space="preserve">MGH (Robbins)</t>
  </si>
  <si>
    <t xml:space="preserve">Consistent in scale: 84 allowed amounts vs 94 patients (different period and unit).</t>
  </si>
  <si>
    <t xml:space="preserve">Gap: 95 Medicare patients but no Medicare row. Likely because 95923 (Q1) is packaged into 95924 on the same claim, leaving no separate allowed amount to publish.</t>
  </si>
  <si>
    <t xml:space="preserve">Faulkner (Novak)</t>
  </si>
  <si>
    <t xml:space="preserve">Consistent: 121 allowed amounts vs 114 patients.</t>
  </si>
  <si>
    <t xml:space="preserve">Row listed but count only '1 through 10' vs 114 patients: consistent with 95923 being packaged on most claims.</t>
  </si>
  <si>
    <t xml:space="preserve">BIDMC (Freeman + Gibbons)</t>
  </si>
  <si>
    <t xml:space="preserve">Gap: 99 Medicare patients but BIDMC's file lists no Medicare rows for any target code (only BCBS, Harvard Pilgrim, Unicare).</t>
  </si>
  <si>
    <t xml:space="preserve">Gap: as for 95924.</t>
  </si>
  <si>
    <t xml:space="preserve">Medicare FFS rows in hospital files (primary comparator) vs OPPS Addendum B (national)</t>
  </si>
  <si>
    <t xml:space="preserve">Addendum B rates are national and unadjusted for the Massachusetts wage index. Implied wage index = (file price / national - (1 - labour share)) / labour share.</t>
  </si>
  <si>
    <t xml:space="preserve">MRF Medicare APC price</t>
  </si>
  <si>
    <t xml:space="preserve">APC price in algorithm text</t>
  </si>
  <si>
    <t xml:space="preserve">MRF median allowed</t>
  </si>
  <si>
    <t xml:space="preserve">MRF allowed count</t>
  </si>
  <si>
    <t xml:space="preserve">Addendum B SI</t>
  </si>
  <si>
    <t xml:space="preserve">Addendum B APC</t>
  </si>
  <si>
    <t xml:space="preserve">Addendum B national rate</t>
  </si>
  <si>
    <t xml:space="preserve">Difference $</t>
  </si>
  <si>
    <t xml:space="preserve">Ratio file / national</t>
  </si>
  <si>
    <t xml:space="preserve">Implied wage index</t>
  </si>
  <si>
    <t xml:space="preserve">Comment</t>
  </si>
  <si>
    <t xml:space="preserve">Implied wage index inconsistent with the 95923/95924 rows; file APC price not reproducible from the CY2026 APC with one wage index.</t>
  </si>
  <si>
    <t xml:space="preserve">Close to a Boston-area wage adjustment of APC 5734. Median allowed is 2x the APC price (possibly 2 units or mixed claims).</t>
  </si>
  <si>
    <t xml:space="preserve">File price ($369.8) is 1.68x the national APC 5722 rate; would need wage index ~2.1. Closer to APC 5723 ($381.24 national). The hospital's APC assignment or rate year may differ from CY2026 Addendum B. Median allowed confirms ~$370 actually paid.</t>
  </si>
  <si>
    <t xml:space="preserve">all</t>
  </si>
  <si>
    <t xml:space="preserve">No Medicare FFS rows in this hospital's file; Addendum B national used as comparator.</t>
  </si>
  <si>
    <t xml:space="preserve">QA: exclusions, missing codes, review flags</t>
  </si>
  <si>
    <t xml:space="preserve">1. Rows excluded from payer statistics</t>
  </si>
  <si>
    <t xml:space="preserve">Row id</t>
  </si>
  <si>
    <t xml:space="preserve">Reason</t>
  </si>
  <si>
    <t xml:space="preserve">(none)</t>
  </si>
  <si>
    <t xml:space="preserve">no payer: gross/discounted-cash only row (not a negotiated rate)</t>
  </si>
  <si>
    <t xml:space="preserve">Also not in Battery: rows whose payer/plan lacks either 95923 or 95924, and 93660 / 95921 / 95922 (not part of the battery). They remain in By_code_payer and Multiples.</t>
  </si>
  <si>
    <t xml:space="preserve">2. Included rows per hospital and code ('missing' = no included row)</t>
  </si>
  <si>
    <t xml:space="preserve">3. Rates above 20x or below 0.2x their Medicare comparator</t>
  </si>
  <si>
    <t xml:space="preserve">Rows flagged REVIEW:</t>
  </si>
  <si>
    <t xml:space="preserve">Rows checked:</t>
  </si>
  <si>
    <t xml:space="preserve">Highest multiple of comparator:</t>
  </si>
  <si>
    <t xml:space="preserve">Lowest:</t>
  </si>
  <si>
    <t xml:space="preserve">Comparator = the hospital's own Medicare FFS row for the code where listed, otherwise OPPS Addendum B national. Filter Rates_data!review_flag for the rows.</t>
  </si>
  <si>
    <t xml:space="preserve">4. Data caveats found during QA</t>
  </si>
  <si>
    <t xml:space="preserve">• MGB allowed-amount medians appear pooled above plan level: UnitedHealthcare 'New Business Discount' and 'PPO/POS' share identical medians (761.83 / 889.73) despite different negotiated rates.</t>
  </si>
  <si>
    <t xml:space="preserve">• Some median allowed amounts exceed the negotiated rate (e.g. MGH Aetna 95924: allowed 1,444.72 vs negotiated 801.30); may reflect multiple units per claim or a different plan mix. Headline figures use median allowed where present, as specified.</t>
  </si>
  <si>
    <t xml:space="preserve">• MGB files have no billing_class column; rows treated as hospital facility (all MGB plan names are 'HB' = hospital billing).</t>
  </si>
  <si>
    <t xml:space="preserve">• BIDMC payer rows carry no gross charge and sit on a separate item from the gross/cash row; no rate was derived across items.</t>
  </si>
  <si>
    <t xml:space="preserve">• No percentage-only rates exist in these files, so implied_flag is never TRUE.</t>
  </si>
  <si>
    <t xml:space="preserve">• Medicare FFS APC prices in MGB files do not reconcile to CY2026 Addendum B with a single wage index (see Medicare_check).</t>
  </si>
  <si>
    <t xml:space="preserve">Reference prices</t>
  </si>
  <si>
    <t xml:space="preserve">Blue = input values. MPFS values supplied by the user; OPPS values from CMS Addendum B.</t>
  </si>
  <si>
    <t xml:space="preserve">CY2026 Medicare Physician Fee Schedule — Metro Boston locality 1421201 (values supplied by user)</t>
  </si>
  <si>
    <t xml:space="preserve">Technical (TC)</t>
  </si>
  <si>
    <t xml:space="preserve">Professional (PC)</t>
  </si>
  <si>
    <t xml:space="preserve">Global</t>
  </si>
  <si>
    <t xml:space="preserve">Full battery 95924 + 95923</t>
  </si>
  <si>
    <t xml:space="preserve">User-stated battery totals (check): global 316.15, technical 173.58, professional 142.57</t>
  </si>
  <si>
    <t xml:space="preserve">Check (should all be 0):</t>
  </si>
  <si>
    <t xml:space="preserve">CY2026 OPPS Addendum B (July 2026 update) — NATIONAL payment rates, NOT adjusted for the Massachusetts wage index</t>
  </si>
  <si>
    <t xml:space="preserve">Source: CMS, July 2026 OPPS Addendum B (updated July 21, 2026), file '2026 July Web Addendum B.07.14.26.xlsx'. https://www.cms.gov/medicare/payment/prospective-payment-systems/hospital-outpatient-pps/quarterly-addenda-updates/july-2026-addendum-b</t>
  </si>
  <si>
    <t xml:space="preserve">Short descriptor</t>
  </si>
  <si>
    <t xml:space="preserve">Status indicator</t>
  </si>
  <si>
    <t xml:space="preserve">APC</t>
  </si>
  <si>
    <t xml:space="preserve">National payment rate</t>
  </si>
  <si>
    <t xml:space="preserve">SI meaning</t>
  </si>
  <si>
    <t xml:space="preserve">Autonomic nrv parasym inervj</t>
  </si>
  <si>
    <t xml:space="preserve">S</t>
  </si>
  <si>
    <t xml:space="preserve">5721</t>
  </si>
  <si>
    <t xml:space="preserve">Paid separately; not discounted when multiple</t>
  </si>
  <si>
    <t xml:space="preserve">Autonomic nrv adrenrg inervj</t>
  </si>
  <si>
    <t xml:space="preserve">Q1</t>
  </si>
  <si>
    <t xml:space="preserve">5734</t>
  </si>
  <si>
    <t xml:space="preserve">STV-packaged: packaged (no separate payment) when on the same claim as an S, T or V code; otherwise paid via its APC</t>
  </si>
  <si>
    <t xml:space="preserve">Autonomic nrv syst funj test</t>
  </si>
  <si>
    <t xml:space="preserve">Ans parasymp &amp; symp w/tilt</t>
  </si>
  <si>
    <t xml:space="preserve">5722</t>
  </si>
  <si>
    <t xml:space="preserve">Tilt table evaluation</t>
  </si>
  <si>
    <t xml:space="preserve">5723</t>
  </si>
  <si>
    <t xml:space="preserve">OPPS labour-related share (assumption, for implied wage index only)</t>
  </si>
  <si>
    <t xml:space="preserve">row_id</t>
  </si>
  <si>
    <t xml:space="preserve">hospital</t>
  </si>
  <si>
    <t xml:space="preserve">hosp</t>
  </si>
  <si>
    <t xml:space="preserve">code</t>
  </si>
  <si>
    <t xml:space="preserve">payer_name</t>
  </si>
  <si>
    <t xml:space="preserve">payer_family</t>
  </si>
  <si>
    <t xml:space="preserve">segment</t>
  </si>
  <si>
    <t xml:space="preserve">plan_name</t>
  </si>
  <si>
    <t xml:space="preserve">setting</t>
  </si>
  <si>
    <t xml:space="preserve">billing_class</t>
  </si>
  <si>
    <t xml:space="preserve">methodology</t>
  </si>
  <si>
    <t xml:space="preserve">rate_type</t>
  </si>
  <si>
    <t xml:space="preserve">gross_charge</t>
  </si>
  <si>
    <t xml:space="preserve">standard_charge_dollar</t>
  </si>
  <si>
    <t xml:space="preserve">standard_charge_percentage</t>
  </si>
  <si>
    <t xml:space="preserve">implied_dollar</t>
  </si>
  <si>
    <t xml:space="preserve">implied_flag</t>
  </si>
  <si>
    <t xml:space="preserve">pct_based</t>
  </si>
  <si>
    <t xml:space="preserve">median_allowed</t>
  </si>
  <si>
    <t xml:space="preserve">p10_allowed</t>
  </si>
  <si>
    <t xml:space="preserve">p90_allowed</t>
  </si>
  <si>
    <t xml:space="preserve">allowed_count</t>
  </si>
  <si>
    <t xml:space="preserve">headline_rate</t>
  </si>
  <si>
    <t xml:space="preserve">headline_basis</t>
  </si>
  <si>
    <t xml:space="preserve">included</t>
  </si>
  <si>
    <t xml:space="preserve">exclusion_reason</t>
  </si>
  <si>
    <t xml:space="preserve">medicare_comparator</t>
  </si>
  <si>
    <t xml:space="preserve">comparator_source</t>
  </si>
  <si>
    <t xml:space="preserve">multiple_vs_comparator</t>
  </si>
  <si>
    <t xml:space="preserve">review_flag</t>
  </si>
  <si>
    <t xml:space="preserve">opps_national</t>
  </si>
  <si>
    <t xml:space="preserve">multiple_vs_opps</t>
  </si>
  <si>
    <t xml:space="preserve">algorithm_text</t>
  </si>
  <si>
    <t xml:space="preserve">source_ref</t>
  </si>
  <si>
    <t xml:space="preserve">MGH</t>
  </si>
  <si>
    <t xml:space="preserve">dollar</t>
  </si>
  <si>
    <t xml:space="preserve">FALSE</t>
  </si>
  <si>
    <t xml:space="preserve">OPPS Addendum B national (no Medicare FFS row in file)</t>
  </si>
  <si>
    <t xml:space="preserve">raw_massachusetts_general_hospital.jsonl:line1</t>
  </si>
  <si>
    <t xml:space="preserve">raw_massachusetts_general_hospital.jsonl:line9</t>
  </si>
  <si>
    <t xml:space="preserve">raw_massachusetts_general_hospital.jsonl:line3</t>
  </si>
  <si>
    <t xml:space="preserve">raw_massachusetts_general_hospital.jsonl:line2</t>
  </si>
  <si>
    <t xml:space="preserve">raw_massachusetts_general_hospital.jsonl:line4</t>
  </si>
  <si>
    <t xml:space="preserve">13</t>
  </si>
  <si>
    <t xml:space="preserve">raw_massachusetts_general_hospital.jsonl:line5</t>
  </si>
  <si>
    <t xml:space="preserve">36</t>
  </si>
  <si>
    <t xml:space="preserve">raw_massachusetts_general_hospital.jsonl:line6</t>
  </si>
  <si>
    <t xml:space="preserve">raw_massachusetts_general_hospital.jsonl:line7</t>
  </si>
  <si>
    <t xml:space="preserve">raw_massachusetts_general_hospital.jsonl:line10</t>
  </si>
  <si>
    <t xml:space="preserve">raw_massachusetts_general_hospital.jsonl:line8</t>
  </si>
  <si>
    <t xml:space="preserve">hospital's Medicare FFS row (APC)</t>
  </si>
  <si>
    <t xml:space="preserve">raw_massachusetts_general_hospital.jsonl:line26</t>
  </si>
  <si>
    <t xml:space="preserve">raw_massachusetts_general_hospital.jsonl:line13</t>
  </si>
  <si>
    <t xml:space="preserve">raw_massachusetts_general_hospital.jsonl:line12</t>
  </si>
  <si>
    <t xml:space="preserve">raw_massachusetts_general_hospital.jsonl:line16</t>
  </si>
  <si>
    <t xml:space="preserve">raw_massachusetts_general_hospital.jsonl:line18</t>
  </si>
  <si>
    <t xml:space="preserve">raw_massachusetts_general_hospital.jsonl:line19</t>
  </si>
  <si>
    <t xml:space="preserve">raw_massachusetts_general_hospital.jsonl:line23</t>
  </si>
  <si>
    <t xml:space="preserve">raw_massachusetts_general_hospital.jsonl:line27</t>
  </si>
  <si>
    <t xml:space="preserve">raw_massachusetts_general_hospital.jsonl:line25</t>
  </si>
  <si>
    <t xml:space="preserve">APC Price ($369.77). If cost exceeds the threshold, the outlier payment is added to the expected reimbursement. Cost is calculated as the billed amount * the cost-to-charge ratio (0.222). The threshold is calculated as the maximum of the outlier multiplier threshold and the fixed threshold. The outl</t>
  </si>
  <si>
    <t xml:space="preserve">raw_massachusetts_general_hospital.jsonl:line14</t>
  </si>
  <si>
    <t xml:space="preserve">raw_massachusetts_general_hospital.jsonl:line11</t>
  </si>
  <si>
    <t xml:space="preserve">raw_massachusetts_general_hospital.jsonl:line15</t>
  </si>
  <si>
    <t xml:space="preserve">raw_massachusetts_general_hospital.jsonl:line20</t>
  </si>
  <si>
    <t xml:space="preserve">raw_massachusetts_general_hospital.jsonl:line22</t>
  </si>
  <si>
    <t xml:space="preserve">raw_massachusetts_general_hospital.jsonl:line24</t>
  </si>
  <si>
    <t xml:space="preserve">raw_massachusetts_general_hospital.jsonl:line17</t>
  </si>
  <si>
    <t xml:space="preserve">APC Price ($369.81). If cost exceeds the threshold, the outlier payment is added to the expected reimbursement. Cost is calculated as the billed amount * the cost-to-charge ratio (0.324). The threshold is calculated as the maximum of the outlier multiplier threshold and the fixed threshold. The outl</t>
  </si>
  <si>
    <t xml:space="preserve">raw_massachusetts_general_hospital.jsonl:line21</t>
  </si>
  <si>
    <t xml:space="preserve">BWFH</t>
  </si>
  <si>
    <t xml:space="preserve">raw_brigham_and_womens_faulkner_hospital.jsonl:line3</t>
  </si>
  <si>
    <t xml:space="preserve">raw_brigham_and_womens_faulkner_hospital.jsonl:line4</t>
  </si>
  <si>
    <t xml:space="preserve">APC Price ($185.81). If cost exceeds the threshold, the outlier payment is added to the expected reimbursement. Cost is calculated as the billed amount * the cost-to-charge ratio (0.256). The threshold is calculated as the maximum of the outlier multiplier threshold and the fixed threshold. The outl</t>
  </si>
  <si>
    <t xml:space="preserve">raw_brigham_and_womens_faulkner_hospital.jsonl:line2</t>
  </si>
  <si>
    <t xml:space="preserve">raw_brigham_and_womens_faulkner_hospital.jsonl:line1</t>
  </si>
  <si>
    <t xml:space="preserve">raw_brigham_and_womens_faulkner_hospital.jsonl:line10</t>
  </si>
  <si>
    <t xml:space="preserve">raw_brigham_and_womens_faulkner_hospital.jsonl:line7</t>
  </si>
  <si>
    <t xml:space="preserve">raw_brigham_and_womens_faulkner_hospital.jsonl:line11</t>
  </si>
  <si>
    <t xml:space="preserve">22</t>
  </si>
  <si>
    <t xml:space="preserve">raw_brigham_and_womens_faulkner_hospital.jsonl:line12</t>
  </si>
  <si>
    <t xml:space="preserve">raw_brigham_and_womens_faulkner_hospital.jsonl:line9</t>
  </si>
  <si>
    <t xml:space="preserve">APC Price ($153.08). The procedure is conditionally packaged with other services, and it is only paid if it is the highest rate for the service date. If cost exceeds the threshold, the outlier payment is added to the expected reimbursement. Cost is calculated as the billed amount * the cost-to-charg</t>
  </si>
  <si>
    <t xml:space="preserve">raw_brigham_and_womens_faulkner_hospital.jsonl:line5</t>
  </si>
  <si>
    <t xml:space="preserve">raw_brigham_and_womens_faulkner_hospital.jsonl:line6</t>
  </si>
  <si>
    <t xml:space="preserve">raw_brigham_and_womens_faulkner_hospital.jsonl:line8</t>
  </si>
  <si>
    <t xml:space="preserve">raw_brigham_and_womens_faulkner_hospital.jsonl:line24</t>
  </si>
  <si>
    <t xml:space="preserve">raw_brigham_and_womens_faulkner_hospital.jsonl:line16</t>
  </si>
  <si>
    <t xml:space="preserve">raw_brigham_and_womens_faulkner_hospital.jsonl:line25</t>
  </si>
  <si>
    <t xml:space="preserve">21</t>
  </si>
  <si>
    <t xml:space="preserve">raw_brigham_and_womens_faulkner_hospital.jsonl:line26</t>
  </si>
  <si>
    <t xml:space="preserve">raw_brigham_and_womens_faulkner_hospital.jsonl:line23</t>
  </si>
  <si>
    <t xml:space="preserve">APC Price ($369.81). If cost exceeds the threshold, the outlier payment is added to the expected reimbursement. Cost is calculated as the billed amount * the cost-to-charge ratio (0.256). The threshold is calculated as the maximum of the outlier multiplier threshold and the fixed threshold. The outl</t>
  </si>
  <si>
    <t xml:space="preserve">raw_brigham_and_womens_faulkner_hospital.jsonl:line13</t>
  </si>
  <si>
    <t xml:space="preserve">raw_brigham_and_womens_faulkner_hospital.jsonl:line14</t>
  </si>
  <si>
    <t xml:space="preserve">raw_brigham_and_womens_faulkner_hospital.jsonl:line15</t>
  </si>
  <si>
    <t xml:space="preserve">raw_brigham_and_womens_faulkner_hospital.jsonl:line17</t>
  </si>
  <si>
    <t xml:space="preserve">raw_brigham_and_womens_faulkner_hospital.jsonl:line18</t>
  </si>
  <si>
    <t xml:space="preserve">raw_brigham_and_womens_faulkner_hospital.jsonl:line21</t>
  </si>
  <si>
    <t xml:space="preserve">raw_brigham_and_womens_faulkner_hospital.jsonl:line22</t>
  </si>
  <si>
    <t xml:space="preserve">raw_brigham_and_womens_faulkner_hospital.jsonl:line19</t>
  </si>
  <si>
    <t xml:space="preserve">raw_brigham_and_womens_faulkner_hospital.jsonl:line20</t>
  </si>
  <si>
    <t xml:space="preserve">BIDMC</t>
  </si>
  <si>
    <t xml:space="preserve">facility</t>
  </si>
  <si>
    <t xml:space="preserve">no payer (gross/cash only)</t>
  </si>
  <si>
    <t xml:space="preserve">raw_beth_israel_deaconess_medical_center.jsonl:line1.standard_charges[0]</t>
  </si>
  <si>
    <t xml:space="preserve">raw_beth_israel_deaconess_medical_center.jsonl:line6.standard_charges[0].payers_information[0]</t>
  </si>
  <si>
    <t xml:space="preserve">raw_beth_israel_deaconess_medical_center.jsonl:line6.standard_charges[0].payers_information[1]</t>
  </si>
  <si>
    <t xml:space="preserve">raw_beth_israel_deaconess_medical_center.jsonl:line6.standard_charges[0].payers_information[2]</t>
  </si>
  <si>
    <t xml:space="preserve">raw_beth_israel_deaconess_medical_center.jsonl:line6.standard_charges[0].payers_information[3]</t>
  </si>
  <si>
    <t xml:space="preserve">raw_beth_israel_deaconess_medical_center.jsonl:line2.standard_charges[0]</t>
  </si>
  <si>
    <t xml:space="preserve">raw_beth_israel_deaconess_medical_center.jsonl:line7.standard_charges[0].payers_information[0]</t>
  </si>
  <si>
    <t xml:space="preserve">raw_beth_israel_deaconess_medical_center.jsonl:line7.standard_charges[0].payers_information[1]</t>
  </si>
  <si>
    <t xml:space="preserve">raw_beth_israel_deaconess_medical_center.jsonl:line7.standard_charges[0].payers_information[2]</t>
  </si>
  <si>
    <t xml:space="preserve">raw_beth_israel_deaconess_medical_center.jsonl:line3.standard_charges[0]</t>
  </si>
  <si>
    <t xml:space="preserve">raw_beth_israel_deaconess_medical_center.jsonl:line8.standard_charges[0].payers_information[0]</t>
  </si>
  <si>
    <t xml:space="preserve">raw_beth_israel_deaconess_medical_center.jsonl:line8.standard_charges[0].payers_information[1]</t>
  </si>
  <si>
    <t xml:space="preserve">raw_beth_israel_deaconess_medical_center.jsonl:line8.standard_charges[0].payers_information[2]</t>
  </si>
  <si>
    <t xml:space="preserve">raw_beth_israel_deaconess_medical_center.jsonl:line4.standard_charges[0]</t>
  </si>
  <si>
    <t xml:space="preserve">raw_beth_israel_deaconess_medical_center.jsonl:line9.standard_charges[0].payers_information[0]</t>
  </si>
  <si>
    <t xml:space="preserve">raw_beth_israel_deaconess_medical_center.jsonl:line9.standard_charges[0].payers_information[1]</t>
  </si>
  <si>
    <t xml:space="preserve">raw_beth_israel_deaconess_medical_center.jsonl:line9.standard_charges[0].payers_information[2]</t>
  </si>
  <si>
    <t xml:space="preserve">raw_beth_israel_deaconess_medical_center.jsonl:line5.standard_charges[0]</t>
  </si>
  <si>
    <t xml:space="preserve">raw_beth_israel_deaconess_medical_center.jsonl:line10.standard_charges[0].payers_information[0]</t>
  </si>
  <si>
    <t xml:space="preserve">raw_beth_israel_deaconess_medical_center.jsonl:line10.standard_charges[0].payers_information[1]</t>
  </si>
  <si>
    <t xml:space="preserve">raw_beth_israel_deaconess_medical_center.jsonl:line10.standard_charges[0].payers_information[2]</t>
  </si>
</sst>
</file>

<file path=xl/styles.xml><?xml version="1.0" encoding="utf-8"?>
<styleSheet xmlns="http://schemas.openxmlformats.org/spreadsheetml/2006/main">
  <numFmts count="5">
    <numFmt numFmtId="164" formatCode="General"/>
    <numFmt numFmtId="165" formatCode="\$#,##0.00;&quot;($&quot;#,##0.00\);\-"/>
    <numFmt numFmtId="166" formatCode="0.0%;\(0.0%\);\-"/>
    <numFmt numFmtId="167" formatCode="0.00\x"/>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i val="true"/>
      <sz val="9"/>
      <color rgb="FF555555"/>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305496"/>
        <bgColor rgb="FF55555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000000"/>
          <bgColor rgb="FF000000"/>
        </patternFill>
      </fill>
    </dxf>
    <dxf>
      <fill>
        <patternFill patternType="solid">
          <fgColor rgb="FF55555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6.15" hidden="false" customHeight="false" outlineLevel="0" collapsed="false">
      <c r="A1" s="1" t="s">
        <v>0</v>
      </c>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4" t="s">
        <v>6</v>
      </c>
    </row>
    <row r="6" customFormat="false" ht="30" hidden="false" customHeight="true" outlineLevel="0" collapsed="false">
      <c r="A6" s="2" t="s">
        <v>7</v>
      </c>
      <c r="B6" s="3" t="s">
        <v>8</v>
      </c>
    </row>
    <row r="7" customFormat="false" ht="30" hidden="false" customHeight="true" outlineLevel="0" collapsed="false">
      <c r="A7" s="2" t="s">
        <v>9</v>
      </c>
      <c r="B7" s="3" t="s">
        <v>10</v>
      </c>
    </row>
    <row r="8" customFormat="false" ht="30" hidden="false" customHeight="true" outlineLevel="0" collapsed="false">
      <c r="A8" s="2" t="s">
        <v>11</v>
      </c>
      <c r="B8" s="3" t="s">
        <v>12</v>
      </c>
    </row>
    <row r="9" customFormat="false" ht="30" hidden="false" customHeight="true" outlineLevel="0" collapsed="false">
      <c r="A9" s="2" t="s">
        <v>13</v>
      </c>
      <c r="B9" s="3" t="s">
        <v>14</v>
      </c>
    </row>
    <row r="10" customFormat="false" ht="30" hidden="false" customHeight="true" outlineLevel="0" collapsed="false">
      <c r="A10" s="2" t="s">
        <v>15</v>
      </c>
      <c r="B10" s="3" t="s">
        <v>16</v>
      </c>
    </row>
    <row r="11" customFormat="false" ht="30" hidden="false" customHeight="true" outlineLevel="0" collapsed="false">
      <c r="A11" s="2" t="s">
        <v>17</v>
      </c>
      <c r="B11" s="3" t="s">
        <v>18</v>
      </c>
    </row>
    <row r="12" customFormat="false" ht="30" hidden="false" customHeight="true" outlineLevel="0" collapsed="false">
      <c r="A12" s="2" t="s">
        <v>19</v>
      </c>
      <c r="B12"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32"/>
    <col collapsed="false" customWidth="true" hidden="false" outlineLevel="0" max="4" min="4" style="0" width="28"/>
    <col collapsed="false" customWidth="true" hidden="false" outlineLevel="0" max="5" min="5" style="0" width="22"/>
    <col collapsed="false" customWidth="true" hidden="false" outlineLevel="0" max="6" min="6" style="0" width="8"/>
    <col collapsed="false" customWidth="true" hidden="false" outlineLevel="0" max="10" min="7" style="0" width="12"/>
    <col collapsed="false" customWidth="true" hidden="false" outlineLevel="0" max="11" min="11" style="0" width="14"/>
    <col collapsed="false" customWidth="true" hidden="false" outlineLevel="0" max="13" min="12" style="0" width="12"/>
    <col collapsed="false" customWidth="true" hidden="false" outlineLevel="0" max="14" min="14" style="0" width="26"/>
    <col collapsed="false" customWidth="true" hidden="false" outlineLevel="0" max="15" min="15" style="0" width="13"/>
    <col collapsed="false" customWidth="true" hidden="false" outlineLevel="0" max="16" min="16" style="0" width="18"/>
  </cols>
  <sheetData>
    <row r="1" customFormat="false" ht="16.15" hidden="false" customHeight="false" outlineLevel="0" collapsed="false">
      <c r="A1" s="1" t="s">
        <v>21</v>
      </c>
    </row>
    <row r="2" customFormat="false" ht="15" hidden="false" customHeight="false" outlineLevel="0" collapsed="false">
      <c r="A2" s="5" t="s">
        <v>22</v>
      </c>
    </row>
    <row r="4" customFormat="false" ht="45" hidden="false" customHeight="true" outlineLevel="0" collapsed="false">
      <c r="A4" s="6" t="s">
        <v>23</v>
      </c>
      <c r="B4" s="6" t="s">
        <v>24</v>
      </c>
      <c r="C4" s="6" t="s">
        <v>25</v>
      </c>
      <c r="D4" s="6" t="s">
        <v>26</v>
      </c>
      <c r="E4" s="6" t="s">
        <v>27</v>
      </c>
      <c r="F4" s="6" t="s">
        <v>28</v>
      </c>
      <c r="G4" s="6" t="s">
        <v>29</v>
      </c>
      <c r="H4" s="6" t="s">
        <v>30</v>
      </c>
      <c r="I4" s="6" t="s">
        <v>31</v>
      </c>
      <c r="J4" s="6" t="s">
        <v>32</v>
      </c>
      <c r="K4" s="6" t="s">
        <v>33</v>
      </c>
      <c r="L4" s="6" t="s">
        <v>34</v>
      </c>
      <c r="M4" s="6" t="s">
        <v>35</v>
      </c>
      <c r="N4" s="6" t="s">
        <v>36</v>
      </c>
      <c r="O4" s="6" t="s">
        <v>37</v>
      </c>
      <c r="P4" s="6" t="s">
        <v>38</v>
      </c>
    </row>
    <row r="5" customFormat="false" ht="15" hidden="false" customHeight="false" outlineLevel="0" collapsed="false">
      <c r="A5" s="7" t="s">
        <v>39</v>
      </c>
      <c r="B5" s="7" t="s">
        <v>40</v>
      </c>
      <c r="C5" s="7" t="s">
        <v>41</v>
      </c>
      <c r="D5" s="7" t="s">
        <v>42</v>
      </c>
      <c r="E5" s="7" t="s">
        <v>43</v>
      </c>
      <c r="F5" s="7" t="n">
        <f aca="false">COUNTIFS(Rates_data!$B$2:$B$75,$A5,Rates_data!$D$2:$D$75,$B5,Rates_data!$E$2:$E$75,$C5,Rates_data!$G$2:$G$75,$E5,Rates_data!$Y$2:$Y$75,1)</f>
        <v>1</v>
      </c>
      <c r="G5" s="8" t="n">
        <f aca="false">_xlfn.MINIFS(Rates_data!$P$2:$P$75,Rates_data!$B$2:$B$75,$A5,Rates_data!$D$2:$D$75,$B5,Rates_data!$E$2:$E$75,$C5,Rates_data!$G$2:$G$75,$E5,Rates_data!$Y$2:$Y$75,1)</f>
        <v>500.13</v>
      </c>
      <c r="H5" s="8" t="n">
        <f aca="false" t="array" ref="H5:H5">MEDIAN(IF((Rates_data!$B$2:$B$75=$A5)*(Rates_data!$D$2:$D$75=$B5)*(Rates_data!$G$2:$G$75=$E5)*(Rates_data!$E$2:$E$75=$C5)*(Rates_data!$Y$2:$Y$75=1)*(Rates_data!$P$2:$P$75&lt;&gt;""),Rates_data!$P$2:$P$75))</f>
        <v>500.13</v>
      </c>
      <c r="I5" s="8" t="n">
        <f aca="false">_xlfn.MAXIFS(Rates_data!$P$2:$P$75,Rates_data!$B$2:$B$75,$A5,Rates_data!$D$2:$D$75,$B5,Rates_data!$E$2:$E$75,$C5,Rates_data!$G$2:$G$75,$E5,Rates_data!$Y$2:$Y$75,1)</f>
        <v>500.13</v>
      </c>
      <c r="J5" s="9" t="n">
        <f aca="false">IF(F5=0,"",SUMIFS(Rates_data!$R$2:$R$75,Rates_data!$B$2:$B$75,$A5,Rates_data!$D$2:$D$75,$B5,Rates_data!$E$2:$E$75,$C5,Rates_data!$G$2:$G$75,$E5,Rates_data!$Y$2:$Y$75,1)/F5)</f>
        <v>1</v>
      </c>
      <c r="K5" s="8" t="n">
        <f aca="false" t="array" ref="K5:K5">IF(COUNTIFS(Rates_data!$B$2:$B$75,$A5,Rates_data!$D$2:$D$75,$B5,Rates_data!$E$2:$E$75,$C5,Rates_data!$G$2:$G$75,$E5,Rates_data!$Y$2:$Y$75,1,Rates_data!$S$2:$S$75,"&lt;&gt;")=0,"",MEDIAN(IF((Rates_data!$B$2:$B$75=$A5)*(Rates_data!$D$2:$D$75=$B5)*(Rates_data!$G$2:$G$75=$E5)*(Rates_data!$E$2:$E$75=$C5)*(Rates_data!$Y$2:$Y$75=1)*(Rates_data!$S$2:$S$75&lt;&gt;""),Rates_data!$S$2:$S$75)))</f>
        <v>474.04</v>
      </c>
      <c r="L5" s="8" t="n">
        <f aca="false">IF(COUNTIFS(Rates_data!$B$2:$B$75,$A5,Rates_data!$D$2:$D$75,$B5,Rates_data!$E$2:$E$75,$C5,Rates_data!$G$2:$G$75,$E5,Rates_data!$Y$2:$Y$75,1,Rates_data!$T$2:$T$75,"&lt;&gt;")=0,"",_xlfn.MINIFS(Rates_data!$T$2:$T$75,Rates_data!$B$2:$B$75,$A5,Rates_data!$D$2:$D$75,$B5,Rates_data!$E$2:$E$75,$C5,Rates_data!$G$2:$G$75,$E5,Rates_data!$Y$2:$Y$75,1))</f>
        <v>474.04</v>
      </c>
      <c r="M5" s="8" t="n">
        <f aca="false">IF(COUNTIFS(Rates_data!$B$2:$B$75,$A5,Rates_data!$D$2:$D$75,$B5,Rates_data!$E$2:$E$75,$C5,Rates_data!$G$2:$G$75,$E5,Rates_data!$Y$2:$Y$75,1,Rates_data!$U$2:$U$75,"&lt;&gt;")=0,"",_xlfn.MAXIFS(Rates_data!$U$2:$U$75,Rates_data!$B$2:$B$75,$A5,Rates_data!$D$2:$D$75,$B5,Rates_data!$E$2:$E$75,$C5,Rates_data!$G$2:$G$75,$E5,Rates_data!$Y$2:$Y$75,1))</f>
        <v>474.04</v>
      </c>
      <c r="N5" s="7" t="s">
        <v>44</v>
      </c>
      <c r="O5" s="10" t="n">
        <f aca="false">IF(K5&lt;&gt;"",K5,H5)</f>
        <v>474.04</v>
      </c>
      <c r="P5" s="7" t="str">
        <f aca="false">IF(K5&lt;&gt;"","median allowed","median negotiated")</f>
        <v>median allowed</v>
      </c>
    </row>
    <row r="6" customFormat="false" ht="15" hidden="false" customHeight="false" outlineLevel="0" collapsed="false">
      <c r="A6" s="7" t="s">
        <v>39</v>
      </c>
      <c r="B6" s="7" t="s">
        <v>45</v>
      </c>
      <c r="C6" s="7" t="s">
        <v>46</v>
      </c>
      <c r="D6" s="7" t="s">
        <v>47</v>
      </c>
      <c r="E6" s="7" t="s">
        <v>43</v>
      </c>
      <c r="F6" s="7" t="n">
        <f aca="false">COUNTIFS(Rates_data!$B$2:$B$75,$A6,Rates_data!$D$2:$D$75,$B6,Rates_data!$E$2:$E$75,$C6,Rates_data!$G$2:$G$75,$E6,Rates_data!$Y$2:$Y$75,1)</f>
        <v>1</v>
      </c>
      <c r="G6" s="8" t="n">
        <f aca="false">_xlfn.MINIFS(Rates_data!$P$2:$P$75,Rates_data!$B$2:$B$75,$A6,Rates_data!$D$2:$D$75,$B6,Rates_data!$E$2:$E$75,$C6,Rates_data!$G$2:$G$75,$E6,Rates_data!$Y$2:$Y$75,1)</f>
        <v>686.13</v>
      </c>
      <c r="H6" s="8" t="n">
        <f aca="false" t="array" ref="H6:H6">MEDIAN(IF((Rates_data!$B$2:$B$75=$A6)*(Rates_data!$D$2:$D$75=$B6)*(Rates_data!$G$2:$G$75=$E6)*(Rates_data!$E$2:$E$75=$C6)*(Rates_data!$Y$2:$Y$75=1)*(Rates_data!$P$2:$P$75&lt;&gt;""),Rates_data!$P$2:$P$75))</f>
        <v>686.13</v>
      </c>
      <c r="I6" s="8" t="n">
        <f aca="false">_xlfn.MAXIFS(Rates_data!$P$2:$P$75,Rates_data!$B$2:$B$75,$A6,Rates_data!$D$2:$D$75,$B6,Rates_data!$E$2:$E$75,$C6,Rates_data!$G$2:$G$75,$E6,Rates_data!$Y$2:$Y$75,1)</f>
        <v>686.13</v>
      </c>
      <c r="J6" s="9" t="n">
        <f aca="false">IF(F6=0,"",SUMIFS(Rates_data!$R$2:$R$75,Rates_data!$B$2:$B$75,$A6,Rates_data!$D$2:$D$75,$B6,Rates_data!$E$2:$E$75,$C6,Rates_data!$G$2:$G$75,$E6,Rates_data!$Y$2:$Y$75,1)/F6)</f>
        <v>1</v>
      </c>
      <c r="K6" s="8" t="n">
        <f aca="false" t="array" ref="K6:K6">IF(COUNTIFS(Rates_data!$B$2:$B$75,$A6,Rates_data!$D$2:$D$75,$B6,Rates_data!$E$2:$E$75,$C6,Rates_data!$G$2:$G$75,$E6,Rates_data!$Y$2:$Y$75,1,Rates_data!$S$2:$S$75,"&lt;&gt;")=0,"",MEDIAN(IF((Rates_data!$B$2:$B$75=$A6)*(Rates_data!$D$2:$D$75=$B6)*(Rates_data!$G$2:$G$75=$E6)*(Rates_data!$E$2:$E$75=$C6)*(Rates_data!$Y$2:$Y$75=1)*(Rates_data!$S$2:$S$75&lt;&gt;""),Rates_data!$S$2:$S$75)))</f>
        <v>1212.81</v>
      </c>
      <c r="L6" s="8" t="n">
        <f aca="false">IF(COUNTIFS(Rates_data!$B$2:$B$75,$A6,Rates_data!$D$2:$D$75,$B6,Rates_data!$E$2:$E$75,$C6,Rates_data!$G$2:$G$75,$E6,Rates_data!$Y$2:$Y$75,1,Rates_data!$T$2:$T$75,"&lt;&gt;")=0,"",_xlfn.MINIFS(Rates_data!$T$2:$T$75,Rates_data!$B$2:$B$75,$A6,Rates_data!$D$2:$D$75,$B6,Rates_data!$E$2:$E$75,$C6,Rates_data!$G$2:$G$75,$E6,Rates_data!$Y$2:$Y$75,1))</f>
        <v>645.18</v>
      </c>
      <c r="M6" s="8" t="n">
        <f aca="false">IF(COUNTIFS(Rates_data!$B$2:$B$75,$A6,Rates_data!$D$2:$D$75,$B6,Rates_data!$E$2:$E$75,$C6,Rates_data!$G$2:$G$75,$E6,Rates_data!$Y$2:$Y$75,1,Rates_data!$U$2:$U$75,"&lt;&gt;")=0,"",_xlfn.MAXIFS(Rates_data!$U$2:$U$75,Rates_data!$B$2:$B$75,$A6,Rates_data!$D$2:$D$75,$B6,Rates_data!$E$2:$E$75,$C6,Rates_data!$G$2:$G$75,$E6,Rates_data!$Y$2:$Y$75,1))</f>
        <v>1212.81</v>
      </c>
      <c r="N6" s="7" t="s">
        <v>44</v>
      </c>
      <c r="O6" s="10" t="n">
        <f aca="false">IF(K6&lt;&gt;"",K6,H6)</f>
        <v>1212.81</v>
      </c>
      <c r="P6" s="7" t="str">
        <f aca="false">IF(K6&lt;&gt;"","median allowed","median negotiated")</f>
        <v>median allowed</v>
      </c>
    </row>
    <row r="7" customFormat="false" ht="15" hidden="false" customHeight="false" outlineLevel="0" collapsed="false">
      <c r="A7" s="7" t="s">
        <v>39</v>
      </c>
      <c r="B7" s="7" t="s">
        <v>45</v>
      </c>
      <c r="C7" s="7" t="s">
        <v>48</v>
      </c>
      <c r="D7" s="7" t="s">
        <v>49</v>
      </c>
      <c r="E7" s="7" t="s">
        <v>43</v>
      </c>
      <c r="F7" s="7" t="n">
        <f aca="false">COUNTIFS(Rates_data!$B$2:$B$75,$A7,Rates_data!$D$2:$D$75,$B7,Rates_data!$E$2:$E$75,$C7,Rates_data!$G$2:$G$75,$E7,Rates_data!$Y$2:$Y$75,1)</f>
        <v>1</v>
      </c>
      <c r="G7" s="8" t="n">
        <f aca="false">_xlfn.MINIFS(Rates_data!$P$2:$P$75,Rates_data!$B$2:$B$75,$A7,Rates_data!$D$2:$D$75,$B7,Rates_data!$E$2:$E$75,$C7,Rates_data!$G$2:$G$75,$E7,Rates_data!$Y$2:$Y$75,1)</f>
        <v>523.94</v>
      </c>
      <c r="H7" s="8" t="n">
        <f aca="false" t="array" ref="H7:H7">MEDIAN(IF((Rates_data!$B$2:$B$75=$A7)*(Rates_data!$D$2:$D$75=$B7)*(Rates_data!$G$2:$G$75=$E7)*(Rates_data!$E$2:$E$75=$C7)*(Rates_data!$Y$2:$Y$75=1)*(Rates_data!$P$2:$P$75&lt;&gt;""),Rates_data!$P$2:$P$75))</f>
        <v>523.94</v>
      </c>
      <c r="I7" s="8" t="n">
        <f aca="false">_xlfn.MAXIFS(Rates_data!$P$2:$P$75,Rates_data!$B$2:$B$75,$A7,Rates_data!$D$2:$D$75,$B7,Rates_data!$E$2:$E$75,$C7,Rates_data!$G$2:$G$75,$E7,Rates_data!$Y$2:$Y$75,1)</f>
        <v>523.94</v>
      </c>
      <c r="J7" s="9" t="n">
        <f aca="false">IF(F7=0,"",SUMIFS(Rates_data!$R$2:$R$75,Rates_data!$B$2:$B$75,$A7,Rates_data!$D$2:$D$75,$B7,Rates_data!$E$2:$E$75,$C7,Rates_data!$G$2:$G$75,$E7,Rates_data!$Y$2:$Y$75,1)/F7)</f>
        <v>1</v>
      </c>
      <c r="K7" s="8" t="n">
        <f aca="false" t="array" ref="K7:K7">IF(COUNTIFS(Rates_data!$B$2:$B$75,$A7,Rates_data!$D$2:$D$75,$B7,Rates_data!$E$2:$E$75,$C7,Rates_data!$G$2:$G$75,$E7,Rates_data!$Y$2:$Y$75,1,Rates_data!$S$2:$S$75,"&lt;&gt;")=0,"",MEDIAN(IF((Rates_data!$B$2:$B$75=$A7)*(Rates_data!$D$2:$D$75=$B7)*(Rates_data!$G$2:$G$75=$E7)*(Rates_data!$E$2:$E$75=$C7)*(Rates_data!$Y$2:$Y$75=1)*(Rates_data!$S$2:$S$75&lt;&gt;""),Rates_data!$S$2:$S$75)))</f>
        <v>503.18</v>
      </c>
      <c r="L7" s="8" t="n">
        <f aca="false">IF(COUNTIFS(Rates_data!$B$2:$B$75,$A7,Rates_data!$D$2:$D$75,$B7,Rates_data!$E$2:$E$75,$C7,Rates_data!$G$2:$G$75,$E7,Rates_data!$Y$2:$Y$75,1,Rates_data!$T$2:$T$75,"&lt;&gt;")=0,"",_xlfn.MINIFS(Rates_data!$T$2:$T$75,Rates_data!$B$2:$B$75,$A7,Rates_data!$D$2:$D$75,$B7,Rates_data!$E$2:$E$75,$C7,Rates_data!$G$2:$G$75,$E7,Rates_data!$Y$2:$Y$75,1))</f>
        <v>503.18</v>
      </c>
      <c r="M7" s="8" t="n">
        <f aca="false">IF(COUNTIFS(Rates_data!$B$2:$B$75,$A7,Rates_data!$D$2:$D$75,$B7,Rates_data!$E$2:$E$75,$C7,Rates_data!$G$2:$G$75,$E7,Rates_data!$Y$2:$Y$75,1,Rates_data!$U$2:$U$75,"&lt;&gt;")=0,"",_xlfn.MAXIFS(Rates_data!$U$2:$U$75,Rates_data!$B$2:$B$75,$A7,Rates_data!$D$2:$D$75,$B7,Rates_data!$E$2:$E$75,$C7,Rates_data!$G$2:$G$75,$E7,Rates_data!$Y$2:$Y$75,1))</f>
        <v>503.18</v>
      </c>
      <c r="N7" s="7" t="s">
        <v>44</v>
      </c>
      <c r="O7" s="10" t="n">
        <f aca="false">IF(K7&lt;&gt;"",K7,H7)</f>
        <v>503.18</v>
      </c>
      <c r="P7" s="7" t="str">
        <f aca="false">IF(K7&lt;&gt;"","median allowed","median negotiated")</f>
        <v>median allowed</v>
      </c>
    </row>
    <row r="8" customFormat="false" ht="15" hidden="false" customHeight="false" outlineLevel="0" collapsed="false">
      <c r="A8" s="7" t="s">
        <v>39</v>
      </c>
      <c r="B8" s="7" t="s">
        <v>45</v>
      </c>
      <c r="C8" s="7" t="s">
        <v>50</v>
      </c>
      <c r="D8" s="7" t="s">
        <v>49</v>
      </c>
      <c r="E8" s="7" t="s">
        <v>43</v>
      </c>
      <c r="F8" s="7" t="n">
        <f aca="false">COUNTIFS(Rates_data!$B$2:$B$75,$A8,Rates_data!$D$2:$D$75,$B8,Rates_data!$E$2:$E$75,$C8,Rates_data!$G$2:$G$75,$E8,Rates_data!$Y$2:$Y$75,1)</f>
        <v>1</v>
      </c>
      <c r="G8" s="8" t="n">
        <f aca="false">_xlfn.MINIFS(Rates_data!$P$2:$P$75,Rates_data!$B$2:$B$75,$A8,Rates_data!$D$2:$D$75,$B8,Rates_data!$E$2:$E$75,$C8,Rates_data!$G$2:$G$75,$E8,Rates_data!$Y$2:$Y$75,1)</f>
        <v>781.49</v>
      </c>
      <c r="H8" s="8" t="n">
        <f aca="false" t="array" ref="H8:H8">MEDIAN(IF((Rates_data!$B$2:$B$75=$A8)*(Rates_data!$D$2:$D$75=$B8)*(Rates_data!$G$2:$G$75=$E8)*(Rates_data!$E$2:$E$75=$C8)*(Rates_data!$Y$2:$Y$75=1)*(Rates_data!$P$2:$P$75&lt;&gt;""),Rates_data!$P$2:$P$75))</f>
        <v>781.49</v>
      </c>
      <c r="I8" s="8" t="n">
        <f aca="false">_xlfn.MAXIFS(Rates_data!$P$2:$P$75,Rates_data!$B$2:$B$75,$A8,Rates_data!$D$2:$D$75,$B8,Rates_data!$E$2:$E$75,$C8,Rates_data!$G$2:$G$75,$E8,Rates_data!$Y$2:$Y$75,1)</f>
        <v>781.49</v>
      </c>
      <c r="J8" s="9" t="n">
        <f aca="false">IF(F8=0,"",SUMIFS(Rates_data!$R$2:$R$75,Rates_data!$B$2:$B$75,$A8,Rates_data!$D$2:$D$75,$B8,Rates_data!$E$2:$E$75,$C8,Rates_data!$G$2:$G$75,$E8,Rates_data!$Y$2:$Y$75,1)/F8)</f>
        <v>1</v>
      </c>
      <c r="K8" s="8" t="n">
        <f aca="false" t="array" ref="K8:K8">IF(COUNTIFS(Rates_data!$B$2:$B$75,$A8,Rates_data!$D$2:$D$75,$B8,Rates_data!$E$2:$E$75,$C8,Rates_data!$G$2:$G$75,$E8,Rates_data!$Y$2:$Y$75,1,Rates_data!$S$2:$S$75,"&lt;&gt;")=0,"",MEDIAN(IF((Rates_data!$B$2:$B$75=$A8)*(Rates_data!$D$2:$D$75=$B8)*(Rates_data!$G$2:$G$75=$E8)*(Rates_data!$E$2:$E$75=$C8)*(Rates_data!$Y$2:$Y$75=1)*(Rates_data!$S$2:$S$75&lt;&gt;""),Rates_data!$S$2:$S$75)))</f>
        <v>750.01</v>
      </c>
      <c r="L8" s="8" t="n">
        <f aca="false">IF(COUNTIFS(Rates_data!$B$2:$B$75,$A8,Rates_data!$D$2:$D$75,$B8,Rates_data!$E$2:$E$75,$C8,Rates_data!$G$2:$G$75,$E8,Rates_data!$Y$2:$Y$75,1,Rates_data!$T$2:$T$75,"&lt;&gt;")=0,"",_xlfn.MINIFS(Rates_data!$T$2:$T$75,Rates_data!$B$2:$B$75,$A8,Rates_data!$D$2:$D$75,$B8,Rates_data!$E$2:$E$75,$C8,Rates_data!$G$2:$G$75,$E8,Rates_data!$Y$2:$Y$75,1))</f>
        <v>503.18</v>
      </c>
      <c r="M8" s="8" t="n">
        <f aca="false">IF(COUNTIFS(Rates_data!$B$2:$B$75,$A8,Rates_data!$D$2:$D$75,$B8,Rates_data!$E$2:$E$75,$C8,Rates_data!$G$2:$G$75,$E8,Rates_data!$Y$2:$Y$75,1,Rates_data!$U$2:$U$75,"&lt;&gt;")=0,"",_xlfn.MAXIFS(Rates_data!$U$2:$U$75,Rates_data!$B$2:$B$75,$A8,Rates_data!$D$2:$D$75,$B8,Rates_data!$E$2:$E$75,$C8,Rates_data!$G$2:$G$75,$E8,Rates_data!$Y$2:$Y$75,1))</f>
        <v>750.01</v>
      </c>
      <c r="N8" s="7" t="s">
        <v>51</v>
      </c>
      <c r="O8" s="10" t="n">
        <f aca="false">IF(K8&lt;&gt;"",K8,H8)</f>
        <v>750.01</v>
      </c>
      <c r="P8" s="7" t="str">
        <f aca="false">IF(K8&lt;&gt;"","median allowed","median negotiated")</f>
        <v>median allowed</v>
      </c>
    </row>
    <row r="9" customFormat="false" ht="15" hidden="false" customHeight="false" outlineLevel="0" collapsed="false">
      <c r="A9" s="7" t="s">
        <v>39</v>
      </c>
      <c r="B9" s="7" t="s">
        <v>45</v>
      </c>
      <c r="C9" s="7" t="s">
        <v>52</v>
      </c>
      <c r="D9" s="7" t="s">
        <v>53</v>
      </c>
      <c r="E9" s="7" t="s">
        <v>43</v>
      </c>
      <c r="F9" s="7" t="n">
        <f aca="false">COUNTIFS(Rates_data!$B$2:$B$75,$A9,Rates_data!$D$2:$D$75,$B9,Rates_data!$E$2:$E$75,$C9,Rates_data!$G$2:$G$75,$E9,Rates_data!$Y$2:$Y$75,1)</f>
        <v>1</v>
      </c>
      <c r="G9" s="8" t="n">
        <f aca="false">_xlfn.MINIFS(Rates_data!$P$2:$P$75,Rates_data!$B$2:$B$75,$A9,Rates_data!$D$2:$D$75,$B9,Rates_data!$E$2:$E$75,$C9,Rates_data!$G$2:$G$75,$E9,Rates_data!$Y$2:$Y$75,1)</f>
        <v>638.95</v>
      </c>
      <c r="H9" s="8" t="n">
        <f aca="false" t="array" ref="H9:H9">MEDIAN(IF((Rates_data!$B$2:$B$75=$A9)*(Rates_data!$D$2:$D$75=$B9)*(Rates_data!$G$2:$G$75=$E9)*(Rates_data!$E$2:$E$75=$C9)*(Rates_data!$Y$2:$Y$75=1)*(Rates_data!$P$2:$P$75&lt;&gt;""),Rates_data!$P$2:$P$75))</f>
        <v>638.95</v>
      </c>
      <c r="I9" s="8" t="n">
        <f aca="false">_xlfn.MAXIFS(Rates_data!$P$2:$P$75,Rates_data!$B$2:$B$75,$A9,Rates_data!$D$2:$D$75,$B9,Rates_data!$E$2:$E$75,$C9,Rates_data!$G$2:$G$75,$E9,Rates_data!$Y$2:$Y$75,1)</f>
        <v>638.95</v>
      </c>
      <c r="J9" s="9" t="n">
        <f aca="false">IF(F9=0,"",SUMIFS(Rates_data!$R$2:$R$75,Rates_data!$B$2:$B$75,$A9,Rates_data!$D$2:$D$75,$B9,Rates_data!$E$2:$E$75,$C9,Rates_data!$G$2:$G$75,$E9,Rates_data!$Y$2:$Y$75,1)/F9)</f>
        <v>1</v>
      </c>
      <c r="K9" s="8" t="n">
        <f aca="false" t="array" ref="K9:K9">IF(COUNTIFS(Rates_data!$B$2:$B$75,$A9,Rates_data!$D$2:$D$75,$B9,Rates_data!$E$2:$E$75,$C9,Rates_data!$G$2:$G$75,$E9,Rates_data!$Y$2:$Y$75,1,Rates_data!$S$2:$S$75,"&lt;&gt;")=0,"",MEDIAN(IF((Rates_data!$B$2:$B$75=$A9)*(Rates_data!$D$2:$D$75=$B9)*(Rates_data!$G$2:$G$75=$E9)*(Rates_data!$E$2:$E$75=$C9)*(Rates_data!$Y$2:$Y$75=1)*(Rates_data!$S$2:$S$75&lt;&gt;""),Rates_data!$S$2:$S$75)))</f>
        <v>619.45</v>
      </c>
      <c r="L9" s="8" t="n">
        <f aca="false">IF(COUNTIFS(Rates_data!$B$2:$B$75,$A9,Rates_data!$D$2:$D$75,$B9,Rates_data!$E$2:$E$75,$C9,Rates_data!$G$2:$G$75,$E9,Rates_data!$Y$2:$Y$75,1,Rates_data!$T$2:$T$75,"&lt;&gt;")=0,"",_xlfn.MINIFS(Rates_data!$T$2:$T$75,Rates_data!$B$2:$B$75,$A9,Rates_data!$D$2:$D$75,$B9,Rates_data!$E$2:$E$75,$C9,Rates_data!$G$2:$G$75,$E9,Rates_data!$Y$2:$Y$75,1))</f>
        <v>619.45</v>
      </c>
      <c r="M9" s="8" t="n">
        <f aca="false">IF(COUNTIFS(Rates_data!$B$2:$B$75,$A9,Rates_data!$D$2:$D$75,$B9,Rates_data!$E$2:$E$75,$C9,Rates_data!$G$2:$G$75,$E9,Rates_data!$Y$2:$Y$75,1,Rates_data!$U$2:$U$75,"&lt;&gt;")=0,"",_xlfn.MAXIFS(Rates_data!$U$2:$U$75,Rates_data!$B$2:$B$75,$A9,Rates_data!$D$2:$D$75,$B9,Rates_data!$E$2:$E$75,$C9,Rates_data!$G$2:$G$75,$E9,Rates_data!$Y$2:$Y$75,1))</f>
        <v>619.45</v>
      </c>
      <c r="N9" s="7" t="s">
        <v>44</v>
      </c>
      <c r="O9" s="10" t="n">
        <f aca="false">IF(K9&lt;&gt;"",K9,H9)</f>
        <v>619.45</v>
      </c>
      <c r="P9" s="7" t="str">
        <f aca="false">IF(K9&lt;&gt;"","median allowed","median negotiated")</f>
        <v>median allowed</v>
      </c>
    </row>
    <row r="10" customFormat="false" ht="15" hidden="false" customHeight="false" outlineLevel="0" collapsed="false">
      <c r="A10" s="7" t="s">
        <v>39</v>
      </c>
      <c r="B10" s="7" t="s">
        <v>45</v>
      </c>
      <c r="C10" s="7" t="s">
        <v>54</v>
      </c>
      <c r="D10" s="7" t="s">
        <v>55</v>
      </c>
      <c r="E10" s="7" t="s">
        <v>43</v>
      </c>
      <c r="F10" s="7" t="n">
        <f aca="false">COUNTIFS(Rates_data!$B$2:$B$75,$A10,Rates_data!$D$2:$D$75,$B10,Rates_data!$E$2:$E$75,$C10,Rates_data!$G$2:$G$75,$E10,Rates_data!$Y$2:$Y$75,1)</f>
        <v>2</v>
      </c>
      <c r="G10" s="8" t="n">
        <f aca="false">_xlfn.MINIFS(Rates_data!$P$2:$P$75,Rates_data!$B$2:$B$75,$A10,Rates_data!$D$2:$D$75,$B10,Rates_data!$E$2:$E$75,$C10,Rates_data!$G$2:$G$75,$E10,Rates_data!$Y$2:$Y$75,1)</f>
        <v>358.8</v>
      </c>
      <c r="H10" s="8" t="n">
        <f aca="false" t="array" ref="H10:H10">MEDIAN(IF((Rates_data!$B$2:$B$75=$A10)*(Rates_data!$D$2:$D$75=$B10)*(Rates_data!$G$2:$G$75=$E10)*(Rates_data!$E$2:$E$75=$C10)*(Rates_data!$Y$2:$Y$75=1)*(Rates_data!$P$2:$P$75&lt;&gt;""),Rates_data!$P$2:$P$75))</f>
        <v>367.645</v>
      </c>
      <c r="I10" s="8" t="n">
        <f aca="false">_xlfn.MAXIFS(Rates_data!$P$2:$P$75,Rates_data!$B$2:$B$75,$A10,Rates_data!$D$2:$D$75,$B10,Rates_data!$E$2:$E$75,$C10,Rates_data!$G$2:$G$75,$E10,Rates_data!$Y$2:$Y$75,1)</f>
        <v>376.49</v>
      </c>
      <c r="J10" s="9" t="n">
        <f aca="false">IF(F10=0,"",SUMIFS(Rates_data!$R$2:$R$75,Rates_data!$B$2:$B$75,$A10,Rates_data!$D$2:$D$75,$B10,Rates_data!$E$2:$E$75,$C10,Rates_data!$G$2:$G$75,$E10,Rates_data!$Y$2:$Y$75,1)/F10)</f>
        <v>1</v>
      </c>
      <c r="K10" s="8" t="n">
        <f aca="false" t="array" ref="K10:K10">IF(COUNTIFS(Rates_data!$B$2:$B$75,$A10,Rates_data!$D$2:$D$75,$B10,Rates_data!$E$2:$E$75,$C10,Rates_data!$G$2:$G$75,$E10,Rates_data!$Y$2:$Y$75,1,Rates_data!$S$2:$S$75,"&lt;&gt;")=0,"",MEDIAN(IF((Rates_data!$B$2:$B$75=$A10)*(Rates_data!$D$2:$D$75=$B10)*(Rates_data!$G$2:$G$75=$E10)*(Rates_data!$E$2:$E$75=$C10)*(Rates_data!$Y$2:$Y$75=1)*(Rates_data!$S$2:$S$75&lt;&gt;""),Rates_data!$S$2:$S$75)))</f>
        <v>364.045</v>
      </c>
      <c r="L10" s="8" t="n">
        <f aca="false">IF(COUNTIFS(Rates_data!$B$2:$B$75,$A10,Rates_data!$D$2:$D$75,$B10,Rates_data!$E$2:$E$75,$C10,Rates_data!$G$2:$G$75,$E10,Rates_data!$Y$2:$Y$75,1,Rates_data!$T$2:$T$75,"&lt;&gt;")=0,"",_xlfn.MINIFS(Rates_data!$T$2:$T$75,Rates_data!$B$2:$B$75,$A10,Rates_data!$D$2:$D$75,$B10,Rates_data!$E$2:$E$75,$C10,Rates_data!$G$2:$G$75,$E10,Rates_data!$Y$2:$Y$75,1))</f>
        <v>302.1</v>
      </c>
      <c r="M10" s="8" t="n">
        <f aca="false">IF(COUNTIFS(Rates_data!$B$2:$B$75,$A10,Rates_data!$D$2:$D$75,$B10,Rates_data!$E$2:$E$75,$C10,Rates_data!$G$2:$G$75,$E10,Rates_data!$Y$2:$Y$75,1,Rates_data!$U$2:$U$75,"&lt;&gt;")=0,"",_xlfn.MAXIFS(Rates_data!$U$2:$U$75,Rates_data!$B$2:$B$75,$A10,Rates_data!$D$2:$D$75,$B10,Rates_data!$E$2:$E$75,$C10,Rates_data!$G$2:$G$75,$E10,Rates_data!$Y$2:$Y$75,1))</f>
        <v>372.62</v>
      </c>
      <c r="N10" s="7" t="s">
        <v>56</v>
      </c>
      <c r="O10" s="10" t="n">
        <f aca="false">IF(K10&lt;&gt;"",K10,H10)</f>
        <v>364.045</v>
      </c>
      <c r="P10" s="7" t="str">
        <f aca="false">IF(K10&lt;&gt;"","median allowed","median negotiated")</f>
        <v>median allowed</v>
      </c>
    </row>
    <row r="11" customFormat="false" ht="15" hidden="false" customHeight="false" outlineLevel="0" collapsed="false">
      <c r="A11" s="7" t="s">
        <v>39</v>
      </c>
      <c r="B11" s="7" t="s">
        <v>45</v>
      </c>
      <c r="C11" s="7" t="s">
        <v>41</v>
      </c>
      <c r="D11" s="7" t="s">
        <v>42</v>
      </c>
      <c r="E11" s="7" t="s">
        <v>43</v>
      </c>
      <c r="F11" s="7" t="n">
        <f aca="false">COUNTIFS(Rates_data!$B$2:$B$75,$A11,Rates_data!$D$2:$D$75,$B11,Rates_data!$E$2:$E$75,$C11,Rates_data!$G$2:$G$75,$E11,Rates_data!$Y$2:$Y$75,1)</f>
        <v>2</v>
      </c>
      <c r="G11" s="8" t="n">
        <f aca="false">_xlfn.MINIFS(Rates_data!$P$2:$P$75,Rates_data!$B$2:$B$75,$A11,Rates_data!$D$2:$D$75,$B11,Rates_data!$E$2:$E$75,$C11,Rates_data!$G$2:$G$75,$E11,Rates_data!$Y$2:$Y$75,1)</f>
        <v>421.71</v>
      </c>
      <c r="H11" s="8" t="n">
        <f aca="false" t="array" ref="H11:H11">MEDIAN(IF((Rates_data!$B$2:$B$75=$A11)*(Rates_data!$D$2:$D$75=$B11)*(Rates_data!$G$2:$G$75=$E11)*(Rates_data!$E$2:$E$75=$C11)*(Rates_data!$Y$2:$Y$75=1)*(Rates_data!$P$2:$P$75&lt;&gt;""),Rates_data!$P$2:$P$75))</f>
        <v>612.51</v>
      </c>
      <c r="I11" s="8" t="n">
        <f aca="false">_xlfn.MAXIFS(Rates_data!$P$2:$P$75,Rates_data!$B$2:$B$75,$A11,Rates_data!$D$2:$D$75,$B11,Rates_data!$E$2:$E$75,$C11,Rates_data!$G$2:$G$75,$E11,Rates_data!$Y$2:$Y$75,1)</f>
        <v>803.31</v>
      </c>
      <c r="J11" s="9" t="n">
        <f aca="false">IF(F11=0,"",SUMIFS(Rates_data!$R$2:$R$75,Rates_data!$B$2:$B$75,$A11,Rates_data!$D$2:$D$75,$B11,Rates_data!$E$2:$E$75,$C11,Rates_data!$G$2:$G$75,$E11,Rates_data!$Y$2:$Y$75,1)/F11)</f>
        <v>1</v>
      </c>
      <c r="K11" s="8" t="n">
        <f aca="false" t="array" ref="K11:K11">IF(COUNTIFS(Rates_data!$B$2:$B$75,$A11,Rates_data!$D$2:$D$75,$B11,Rates_data!$E$2:$E$75,$C11,Rates_data!$G$2:$G$75,$E11,Rates_data!$Y$2:$Y$75,1,Rates_data!$S$2:$S$75,"&lt;&gt;")=0,"",MEDIAN(IF((Rates_data!$B$2:$B$75=$A11)*(Rates_data!$D$2:$D$75=$B11)*(Rates_data!$G$2:$G$75=$E11)*(Rates_data!$E$2:$E$75=$C11)*(Rates_data!$Y$2:$Y$75=1)*(Rates_data!$S$2:$S$75&lt;&gt;""),Rates_data!$S$2:$S$75)))</f>
        <v>761.83</v>
      </c>
      <c r="L11" s="8" t="n">
        <f aca="false">IF(COUNTIFS(Rates_data!$B$2:$B$75,$A11,Rates_data!$D$2:$D$75,$B11,Rates_data!$E$2:$E$75,$C11,Rates_data!$G$2:$G$75,$E11,Rates_data!$Y$2:$Y$75,1,Rates_data!$T$2:$T$75,"&lt;&gt;")=0,"",_xlfn.MINIFS(Rates_data!$T$2:$T$75,Rates_data!$B$2:$B$75,$A11,Rates_data!$D$2:$D$75,$B11,Rates_data!$E$2:$E$75,$C11,Rates_data!$G$2:$G$75,$E11,Rates_data!$Y$2:$Y$75,1))</f>
        <v>761.83</v>
      </c>
      <c r="M11" s="8" t="n">
        <f aca="false">IF(COUNTIFS(Rates_data!$B$2:$B$75,$A11,Rates_data!$D$2:$D$75,$B11,Rates_data!$E$2:$E$75,$C11,Rates_data!$G$2:$G$75,$E11,Rates_data!$Y$2:$Y$75,1,Rates_data!$U$2:$U$75,"&lt;&gt;")=0,"",_xlfn.MAXIFS(Rates_data!$U$2:$U$75,Rates_data!$B$2:$B$75,$A11,Rates_data!$D$2:$D$75,$B11,Rates_data!$E$2:$E$75,$C11,Rates_data!$G$2:$G$75,$E11,Rates_data!$Y$2:$Y$75,1))</f>
        <v>1212.81</v>
      </c>
      <c r="N11" s="7" t="s">
        <v>57</v>
      </c>
      <c r="O11" s="10" t="n">
        <f aca="false">IF(K11&lt;&gt;"",K11,H11)</f>
        <v>761.83</v>
      </c>
      <c r="P11" s="7" t="str">
        <f aca="false">IF(K11&lt;&gt;"","median allowed","median negotiated")</f>
        <v>median allowed</v>
      </c>
    </row>
    <row r="12" customFormat="false" ht="15" hidden="false" customHeight="false" outlineLevel="0" collapsed="false">
      <c r="A12" s="7" t="s">
        <v>39</v>
      </c>
      <c r="B12" s="7" t="s">
        <v>45</v>
      </c>
      <c r="C12" s="7" t="s">
        <v>58</v>
      </c>
      <c r="D12" s="7" t="s">
        <v>59</v>
      </c>
      <c r="E12" s="7" t="s">
        <v>43</v>
      </c>
      <c r="F12" s="7" t="n">
        <f aca="false">COUNTIFS(Rates_data!$B$2:$B$75,$A12,Rates_data!$D$2:$D$75,$B12,Rates_data!$E$2:$E$75,$C12,Rates_data!$G$2:$G$75,$E12,Rates_data!$Y$2:$Y$75,1)</f>
        <v>1</v>
      </c>
      <c r="G12" s="8" t="n">
        <f aca="false">_xlfn.MINIFS(Rates_data!$P$2:$P$75,Rates_data!$B$2:$B$75,$A12,Rates_data!$D$2:$D$75,$B12,Rates_data!$E$2:$E$75,$C12,Rates_data!$G$2:$G$75,$E12,Rates_data!$Y$2:$Y$75,1)</f>
        <v>725.26</v>
      </c>
      <c r="H12" s="8" t="n">
        <f aca="false" t="array" ref="H12:H12">MEDIAN(IF((Rates_data!$B$2:$B$75=$A12)*(Rates_data!$D$2:$D$75=$B12)*(Rates_data!$G$2:$G$75=$E12)*(Rates_data!$E$2:$E$75=$C12)*(Rates_data!$Y$2:$Y$75=1)*(Rates_data!$P$2:$P$75&lt;&gt;""),Rates_data!$P$2:$P$75))</f>
        <v>725.26</v>
      </c>
      <c r="I12" s="8" t="n">
        <f aca="false">_xlfn.MAXIFS(Rates_data!$P$2:$P$75,Rates_data!$B$2:$B$75,$A12,Rates_data!$D$2:$D$75,$B12,Rates_data!$E$2:$E$75,$C12,Rates_data!$G$2:$G$75,$E12,Rates_data!$Y$2:$Y$75,1)</f>
        <v>725.26</v>
      </c>
      <c r="J12" s="9" t="n">
        <f aca="false">IF(F12=0,"",SUMIFS(Rates_data!$R$2:$R$75,Rates_data!$B$2:$B$75,$A12,Rates_data!$D$2:$D$75,$B12,Rates_data!$E$2:$E$75,$C12,Rates_data!$G$2:$G$75,$E12,Rates_data!$Y$2:$Y$75,1)/F12)</f>
        <v>1</v>
      </c>
      <c r="K12" s="8" t="n">
        <f aca="false" t="array" ref="K12:K12">IF(COUNTIFS(Rates_data!$B$2:$B$75,$A12,Rates_data!$D$2:$D$75,$B12,Rates_data!$E$2:$E$75,$C12,Rates_data!$G$2:$G$75,$E12,Rates_data!$Y$2:$Y$75,1,Rates_data!$S$2:$S$75,"&lt;&gt;")=0,"",MEDIAN(IF((Rates_data!$B$2:$B$75=$A12)*(Rates_data!$D$2:$D$75=$B12)*(Rates_data!$G$2:$G$75=$E12)*(Rates_data!$E$2:$E$75=$C12)*(Rates_data!$Y$2:$Y$75=1)*(Rates_data!$S$2:$S$75&lt;&gt;""),Rates_data!$S$2:$S$75)))</f>
        <v>709.51</v>
      </c>
      <c r="L12" s="8" t="n">
        <f aca="false">IF(COUNTIFS(Rates_data!$B$2:$B$75,$A12,Rates_data!$D$2:$D$75,$B12,Rates_data!$E$2:$E$75,$C12,Rates_data!$G$2:$G$75,$E12,Rates_data!$Y$2:$Y$75,1,Rates_data!$T$2:$T$75,"&lt;&gt;")=0,"",_xlfn.MINIFS(Rates_data!$T$2:$T$75,Rates_data!$B$2:$B$75,$A12,Rates_data!$D$2:$D$75,$B12,Rates_data!$E$2:$E$75,$C12,Rates_data!$G$2:$G$75,$E12,Rates_data!$Y$2:$Y$75,1))</f>
        <v>709.51</v>
      </c>
      <c r="M12" s="8" t="n">
        <f aca="false">IF(COUNTIFS(Rates_data!$B$2:$B$75,$A12,Rates_data!$D$2:$D$75,$B12,Rates_data!$E$2:$E$75,$C12,Rates_data!$G$2:$G$75,$E12,Rates_data!$Y$2:$Y$75,1,Rates_data!$U$2:$U$75,"&lt;&gt;")=0,"",_xlfn.MAXIFS(Rates_data!$U$2:$U$75,Rates_data!$B$2:$B$75,$A12,Rates_data!$D$2:$D$75,$B12,Rates_data!$E$2:$E$75,$C12,Rates_data!$G$2:$G$75,$E12,Rates_data!$Y$2:$Y$75,1))</f>
        <v>709.51</v>
      </c>
      <c r="N12" s="7" t="s">
        <v>44</v>
      </c>
      <c r="O12" s="10" t="n">
        <f aca="false">IF(K12&lt;&gt;"",K12,H12)</f>
        <v>709.51</v>
      </c>
      <c r="P12" s="7" t="str">
        <f aca="false">IF(K12&lt;&gt;"","median allowed","median negotiated")</f>
        <v>median allowed</v>
      </c>
    </row>
    <row r="13" customFormat="false" ht="15" hidden="false" customHeight="false" outlineLevel="0" collapsed="false">
      <c r="A13" s="7" t="s">
        <v>39</v>
      </c>
      <c r="B13" s="7" t="s">
        <v>60</v>
      </c>
      <c r="C13" s="7" t="s">
        <v>46</v>
      </c>
      <c r="D13" s="7" t="s">
        <v>47</v>
      </c>
      <c r="E13" s="7" t="s">
        <v>43</v>
      </c>
      <c r="F13" s="7" t="n">
        <f aca="false">COUNTIFS(Rates_data!$B$2:$B$75,$A13,Rates_data!$D$2:$D$75,$B13,Rates_data!$E$2:$E$75,$C13,Rates_data!$G$2:$G$75,$E13,Rates_data!$Y$2:$Y$75,1)</f>
        <v>1</v>
      </c>
      <c r="G13" s="8" t="n">
        <f aca="false">_xlfn.MINIFS(Rates_data!$P$2:$P$75,Rates_data!$B$2:$B$75,$A13,Rates_data!$D$2:$D$75,$B13,Rates_data!$E$2:$E$75,$C13,Rates_data!$G$2:$G$75,$E13,Rates_data!$Y$2:$Y$75,1)</f>
        <v>801.3</v>
      </c>
      <c r="H13" s="8" t="n">
        <f aca="false" t="array" ref="H13:H13">MEDIAN(IF((Rates_data!$B$2:$B$75=$A13)*(Rates_data!$D$2:$D$75=$B13)*(Rates_data!$G$2:$G$75=$E13)*(Rates_data!$E$2:$E$75=$C13)*(Rates_data!$Y$2:$Y$75=1)*(Rates_data!$P$2:$P$75&lt;&gt;""),Rates_data!$P$2:$P$75))</f>
        <v>801.3</v>
      </c>
      <c r="I13" s="8" t="n">
        <f aca="false">_xlfn.MAXIFS(Rates_data!$P$2:$P$75,Rates_data!$B$2:$B$75,$A13,Rates_data!$D$2:$D$75,$B13,Rates_data!$E$2:$E$75,$C13,Rates_data!$G$2:$G$75,$E13,Rates_data!$Y$2:$Y$75,1)</f>
        <v>801.3</v>
      </c>
      <c r="J13" s="9" t="n">
        <f aca="false">IF(F13=0,"",SUMIFS(Rates_data!$R$2:$R$75,Rates_data!$B$2:$B$75,$A13,Rates_data!$D$2:$D$75,$B13,Rates_data!$E$2:$E$75,$C13,Rates_data!$G$2:$G$75,$E13,Rates_data!$Y$2:$Y$75,1)/F13)</f>
        <v>1</v>
      </c>
      <c r="K13" s="8" t="n">
        <f aca="false" t="array" ref="K13:K13">IF(COUNTIFS(Rates_data!$B$2:$B$75,$A13,Rates_data!$D$2:$D$75,$B13,Rates_data!$E$2:$E$75,$C13,Rates_data!$G$2:$G$75,$E13,Rates_data!$Y$2:$Y$75,1,Rates_data!$S$2:$S$75,"&lt;&gt;")=0,"",MEDIAN(IF((Rates_data!$B$2:$B$75=$A13)*(Rates_data!$D$2:$D$75=$B13)*(Rates_data!$G$2:$G$75=$E13)*(Rates_data!$E$2:$E$75=$C13)*(Rates_data!$Y$2:$Y$75=1)*(Rates_data!$S$2:$S$75&lt;&gt;""),Rates_data!$S$2:$S$75)))</f>
        <v>1444.72</v>
      </c>
      <c r="L13" s="8" t="n">
        <f aca="false">IF(COUNTIFS(Rates_data!$B$2:$B$75,$A13,Rates_data!$D$2:$D$75,$B13,Rates_data!$E$2:$E$75,$C13,Rates_data!$G$2:$G$75,$E13,Rates_data!$Y$2:$Y$75,1,Rates_data!$T$2:$T$75,"&lt;&gt;")=0,"",_xlfn.MINIFS(Rates_data!$T$2:$T$75,Rates_data!$B$2:$B$75,$A13,Rates_data!$D$2:$D$75,$B13,Rates_data!$E$2:$E$75,$C13,Rates_data!$G$2:$G$75,$E13,Rates_data!$Y$2:$Y$75,1))</f>
        <v>753.5</v>
      </c>
      <c r="M13" s="8" t="n">
        <f aca="false">IF(COUNTIFS(Rates_data!$B$2:$B$75,$A13,Rates_data!$D$2:$D$75,$B13,Rates_data!$E$2:$E$75,$C13,Rates_data!$G$2:$G$75,$E13,Rates_data!$Y$2:$Y$75,1,Rates_data!$U$2:$U$75,"&lt;&gt;")=0,"",_xlfn.MAXIFS(Rates_data!$U$2:$U$75,Rates_data!$B$2:$B$75,$A13,Rates_data!$D$2:$D$75,$B13,Rates_data!$E$2:$E$75,$C13,Rates_data!$G$2:$G$75,$E13,Rates_data!$Y$2:$Y$75,1))</f>
        <v>1444.72</v>
      </c>
      <c r="N13" s="7" t="s">
        <v>44</v>
      </c>
      <c r="O13" s="10" t="n">
        <f aca="false">IF(K13&lt;&gt;"",K13,H13)</f>
        <v>1444.72</v>
      </c>
      <c r="P13" s="7" t="str">
        <f aca="false">IF(K13&lt;&gt;"","median allowed","median negotiated")</f>
        <v>median allowed</v>
      </c>
    </row>
    <row r="14" customFormat="false" ht="15" hidden="false" customHeight="false" outlineLevel="0" collapsed="false">
      <c r="A14" s="7" t="s">
        <v>39</v>
      </c>
      <c r="B14" s="7" t="s">
        <v>60</v>
      </c>
      <c r="C14" s="7" t="s">
        <v>48</v>
      </c>
      <c r="D14" s="7" t="s">
        <v>49</v>
      </c>
      <c r="E14" s="7" t="s">
        <v>43</v>
      </c>
      <c r="F14" s="7" t="n">
        <f aca="false">COUNTIFS(Rates_data!$B$2:$B$75,$A14,Rates_data!$D$2:$D$75,$B14,Rates_data!$E$2:$E$75,$C14,Rates_data!$G$2:$G$75,$E14,Rates_data!$Y$2:$Y$75,1)</f>
        <v>1</v>
      </c>
      <c r="G14" s="8" t="n">
        <f aca="false">_xlfn.MINIFS(Rates_data!$P$2:$P$75,Rates_data!$B$2:$B$75,$A14,Rates_data!$D$2:$D$75,$B14,Rates_data!$E$2:$E$75,$C14,Rates_data!$G$2:$G$75,$E14,Rates_data!$Y$2:$Y$75,1)</f>
        <v>611.88</v>
      </c>
      <c r="H14" s="8" t="n">
        <f aca="false" t="array" ref="H14:H14">MEDIAN(IF((Rates_data!$B$2:$B$75=$A14)*(Rates_data!$D$2:$D$75=$B14)*(Rates_data!$G$2:$G$75=$E14)*(Rates_data!$E$2:$E$75=$C14)*(Rates_data!$Y$2:$Y$75=1)*(Rates_data!$P$2:$P$75&lt;&gt;""),Rates_data!$P$2:$P$75))</f>
        <v>611.88</v>
      </c>
      <c r="I14" s="8" t="n">
        <f aca="false">_xlfn.MAXIFS(Rates_data!$P$2:$P$75,Rates_data!$B$2:$B$75,$A14,Rates_data!$D$2:$D$75,$B14,Rates_data!$E$2:$E$75,$C14,Rates_data!$G$2:$G$75,$E14,Rates_data!$Y$2:$Y$75,1)</f>
        <v>611.88</v>
      </c>
      <c r="J14" s="9" t="n">
        <f aca="false">IF(F14=0,"",SUMIFS(Rates_data!$R$2:$R$75,Rates_data!$B$2:$B$75,$A14,Rates_data!$D$2:$D$75,$B14,Rates_data!$E$2:$E$75,$C14,Rates_data!$G$2:$G$75,$E14,Rates_data!$Y$2:$Y$75,1)/F14)</f>
        <v>1</v>
      </c>
      <c r="K14" s="8" t="n">
        <f aca="false" t="array" ref="K14:K14">IF(COUNTIFS(Rates_data!$B$2:$B$75,$A14,Rates_data!$D$2:$D$75,$B14,Rates_data!$E$2:$E$75,$C14,Rates_data!$G$2:$G$75,$E14,Rates_data!$Y$2:$Y$75,1,Rates_data!$S$2:$S$75,"&lt;&gt;")=0,"",MEDIAN(IF((Rates_data!$B$2:$B$75=$A14)*(Rates_data!$D$2:$D$75=$B14)*(Rates_data!$G$2:$G$75=$E14)*(Rates_data!$E$2:$E$75=$C14)*(Rates_data!$Y$2:$Y$75=1)*(Rates_data!$S$2:$S$75&lt;&gt;""),Rates_data!$S$2:$S$75)))</f>
        <v>587.66</v>
      </c>
      <c r="L14" s="8" t="n">
        <f aca="false">IF(COUNTIFS(Rates_data!$B$2:$B$75,$A14,Rates_data!$D$2:$D$75,$B14,Rates_data!$E$2:$E$75,$C14,Rates_data!$G$2:$G$75,$E14,Rates_data!$Y$2:$Y$75,1,Rates_data!$T$2:$T$75,"&lt;&gt;")=0,"",_xlfn.MINIFS(Rates_data!$T$2:$T$75,Rates_data!$B$2:$B$75,$A14,Rates_data!$D$2:$D$75,$B14,Rates_data!$E$2:$E$75,$C14,Rates_data!$G$2:$G$75,$E14,Rates_data!$Y$2:$Y$75,1))</f>
        <v>587.66</v>
      </c>
      <c r="M14" s="8" t="n">
        <f aca="false">IF(COUNTIFS(Rates_data!$B$2:$B$75,$A14,Rates_data!$D$2:$D$75,$B14,Rates_data!$E$2:$E$75,$C14,Rates_data!$G$2:$G$75,$E14,Rates_data!$Y$2:$Y$75,1,Rates_data!$U$2:$U$75,"&lt;&gt;")=0,"",_xlfn.MAXIFS(Rates_data!$U$2:$U$75,Rates_data!$B$2:$B$75,$A14,Rates_data!$D$2:$D$75,$B14,Rates_data!$E$2:$E$75,$C14,Rates_data!$G$2:$G$75,$E14,Rates_data!$Y$2:$Y$75,1))</f>
        <v>587.66</v>
      </c>
      <c r="N14" s="7" t="s">
        <v>44</v>
      </c>
      <c r="O14" s="10" t="n">
        <f aca="false">IF(K14&lt;&gt;"",K14,H14)</f>
        <v>587.66</v>
      </c>
      <c r="P14" s="7" t="str">
        <f aca="false">IF(K14&lt;&gt;"","median allowed","median negotiated")</f>
        <v>median allowed</v>
      </c>
    </row>
    <row r="15" customFormat="false" ht="15" hidden="false" customHeight="false" outlineLevel="0" collapsed="false">
      <c r="A15" s="7" t="s">
        <v>39</v>
      </c>
      <c r="B15" s="7" t="s">
        <v>60</v>
      </c>
      <c r="C15" s="7" t="s">
        <v>50</v>
      </c>
      <c r="D15" s="7" t="s">
        <v>49</v>
      </c>
      <c r="E15" s="7" t="s">
        <v>43</v>
      </c>
      <c r="F15" s="7" t="n">
        <f aca="false">COUNTIFS(Rates_data!$B$2:$B$75,$A15,Rates_data!$D$2:$D$75,$B15,Rates_data!$E$2:$E$75,$C15,Rates_data!$G$2:$G$75,$E15,Rates_data!$Y$2:$Y$75,1)</f>
        <v>1</v>
      </c>
      <c r="G15" s="8" t="n">
        <f aca="false">_xlfn.MINIFS(Rates_data!$P$2:$P$75,Rates_data!$B$2:$B$75,$A15,Rates_data!$D$2:$D$75,$B15,Rates_data!$E$2:$E$75,$C15,Rates_data!$G$2:$G$75,$E15,Rates_data!$Y$2:$Y$75,1)</f>
        <v>912.66</v>
      </c>
      <c r="H15" s="8" t="n">
        <f aca="false" t="array" ref="H15:H15">MEDIAN(IF((Rates_data!$B$2:$B$75=$A15)*(Rates_data!$D$2:$D$75=$B15)*(Rates_data!$G$2:$G$75=$E15)*(Rates_data!$E$2:$E$75=$C15)*(Rates_data!$Y$2:$Y$75=1)*(Rates_data!$P$2:$P$75&lt;&gt;""),Rates_data!$P$2:$P$75))</f>
        <v>912.66</v>
      </c>
      <c r="I15" s="8" t="n">
        <f aca="false">_xlfn.MAXIFS(Rates_data!$P$2:$P$75,Rates_data!$B$2:$B$75,$A15,Rates_data!$D$2:$D$75,$B15,Rates_data!$E$2:$E$75,$C15,Rates_data!$G$2:$G$75,$E15,Rates_data!$Y$2:$Y$75,1)</f>
        <v>912.66</v>
      </c>
      <c r="J15" s="9" t="n">
        <f aca="false">IF(F15=0,"",SUMIFS(Rates_data!$R$2:$R$75,Rates_data!$B$2:$B$75,$A15,Rates_data!$D$2:$D$75,$B15,Rates_data!$E$2:$E$75,$C15,Rates_data!$G$2:$G$75,$E15,Rates_data!$Y$2:$Y$75,1)/F15)</f>
        <v>1</v>
      </c>
      <c r="K15" s="8" t="n">
        <f aca="false" t="array" ref="K15:K15">IF(COUNTIFS(Rates_data!$B$2:$B$75,$A15,Rates_data!$D$2:$D$75,$B15,Rates_data!$E$2:$E$75,$C15,Rates_data!$G$2:$G$75,$E15,Rates_data!$Y$2:$Y$75,1,Rates_data!$S$2:$S$75,"&lt;&gt;")=0,"",MEDIAN(IF((Rates_data!$B$2:$B$75=$A15)*(Rates_data!$D$2:$D$75=$B15)*(Rates_data!$G$2:$G$75=$E15)*(Rates_data!$E$2:$E$75=$C15)*(Rates_data!$Y$2:$Y$75=1)*(Rates_data!$S$2:$S$75&lt;&gt;""),Rates_data!$S$2:$S$75)))</f>
        <v>875.93</v>
      </c>
      <c r="L15" s="8" t="n">
        <f aca="false">IF(COUNTIFS(Rates_data!$B$2:$B$75,$A15,Rates_data!$D$2:$D$75,$B15,Rates_data!$E$2:$E$75,$C15,Rates_data!$G$2:$G$75,$E15,Rates_data!$Y$2:$Y$75,1,Rates_data!$T$2:$T$75,"&lt;&gt;")=0,"",_xlfn.MINIFS(Rates_data!$T$2:$T$75,Rates_data!$B$2:$B$75,$A15,Rates_data!$D$2:$D$75,$B15,Rates_data!$E$2:$E$75,$C15,Rates_data!$G$2:$G$75,$E15,Rates_data!$Y$2:$Y$75,1))</f>
        <v>587.66</v>
      </c>
      <c r="M15" s="8" t="n">
        <f aca="false">IF(COUNTIFS(Rates_data!$B$2:$B$75,$A15,Rates_data!$D$2:$D$75,$B15,Rates_data!$E$2:$E$75,$C15,Rates_data!$G$2:$G$75,$E15,Rates_data!$Y$2:$Y$75,1,Rates_data!$U$2:$U$75,"&lt;&gt;")=0,"",_xlfn.MAXIFS(Rates_data!$U$2:$U$75,Rates_data!$B$2:$B$75,$A15,Rates_data!$D$2:$D$75,$B15,Rates_data!$E$2:$E$75,$C15,Rates_data!$G$2:$G$75,$E15,Rates_data!$Y$2:$Y$75,1))</f>
        <v>875.93</v>
      </c>
      <c r="N15" s="7" t="s">
        <v>61</v>
      </c>
      <c r="O15" s="10" t="n">
        <f aca="false">IF(K15&lt;&gt;"",K15,H15)</f>
        <v>875.93</v>
      </c>
      <c r="P15" s="7" t="str">
        <f aca="false">IF(K15&lt;&gt;"","median allowed","median negotiated")</f>
        <v>median allowed</v>
      </c>
    </row>
    <row r="16" customFormat="false" ht="15" hidden="false" customHeight="false" outlineLevel="0" collapsed="false">
      <c r="A16" s="7" t="s">
        <v>39</v>
      </c>
      <c r="B16" s="7" t="s">
        <v>60</v>
      </c>
      <c r="C16" s="7" t="s">
        <v>52</v>
      </c>
      <c r="D16" s="7" t="s">
        <v>53</v>
      </c>
      <c r="E16" s="7" t="s">
        <v>43</v>
      </c>
      <c r="F16" s="7" t="n">
        <f aca="false">COUNTIFS(Rates_data!$B$2:$B$75,$A16,Rates_data!$D$2:$D$75,$B16,Rates_data!$E$2:$E$75,$C16,Rates_data!$G$2:$G$75,$E16,Rates_data!$Y$2:$Y$75,1)</f>
        <v>1</v>
      </c>
      <c r="G16" s="8" t="n">
        <f aca="false">_xlfn.MINIFS(Rates_data!$P$2:$P$75,Rates_data!$B$2:$B$75,$A16,Rates_data!$D$2:$D$75,$B16,Rates_data!$E$2:$E$75,$C16,Rates_data!$G$2:$G$75,$E16,Rates_data!$Y$2:$Y$75,1)</f>
        <v>746.2</v>
      </c>
      <c r="H16" s="8" t="n">
        <f aca="false" t="array" ref="H16:H16">MEDIAN(IF((Rates_data!$B$2:$B$75=$A16)*(Rates_data!$D$2:$D$75=$B16)*(Rates_data!$G$2:$G$75=$E16)*(Rates_data!$E$2:$E$75=$C16)*(Rates_data!$Y$2:$Y$75=1)*(Rates_data!$P$2:$P$75&lt;&gt;""),Rates_data!$P$2:$P$75))</f>
        <v>746.2</v>
      </c>
      <c r="I16" s="8" t="n">
        <f aca="false">_xlfn.MAXIFS(Rates_data!$P$2:$P$75,Rates_data!$B$2:$B$75,$A16,Rates_data!$D$2:$D$75,$B16,Rates_data!$E$2:$E$75,$C16,Rates_data!$G$2:$G$75,$E16,Rates_data!$Y$2:$Y$75,1)</f>
        <v>746.2</v>
      </c>
      <c r="J16" s="9" t="n">
        <f aca="false">IF(F16=0,"",SUMIFS(Rates_data!$R$2:$R$75,Rates_data!$B$2:$B$75,$A16,Rates_data!$D$2:$D$75,$B16,Rates_data!$E$2:$E$75,$C16,Rates_data!$G$2:$G$75,$E16,Rates_data!$Y$2:$Y$75,1)/F16)</f>
        <v>1</v>
      </c>
      <c r="K16" s="8" t="n">
        <f aca="false" t="array" ref="K16:K16">IF(COUNTIFS(Rates_data!$B$2:$B$75,$A16,Rates_data!$D$2:$D$75,$B16,Rates_data!$E$2:$E$75,$C16,Rates_data!$G$2:$G$75,$E16,Rates_data!$Y$2:$Y$75,1,Rates_data!$S$2:$S$75,"&lt;&gt;")=0,"",MEDIAN(IF((Rates_data!$B$2:$B$75=$A16)*(Rates_data!$D$2:$D$75=$B16)*(Rates_data!$G$2:$G$75=$E16)*(Rates_data!$E$2:$E$75=$C16)*(Rates_data!$Y$2:$Y$75=1)*(Rates_data!$S$2:$S$75&lt;&gt;""),Rates_data!$S$2:$S$75)))</f>
        <v>723.45</v>
      </c>
      <c r="L16" s="8" t="n">
        <f aca="false">IF(COUNTIFS(Rates_data!$B$2:$B$75,$A16,Rates_data!$D$2:$D$75,$B16,Rates_data!$E$2:$E$75,$C16,Rates_data!$G$2:$G$75,$E16,Rates_data!$Y$2:$Y$75,1,Rates_data!$T$2:$T$75,"&lt;&gt;")=0,"",_xlfn.MINIFS(Rates_data!$T$2:$T$75,Rates_data!$B$2:$B$75,$A16,Rates_data!$D$2:$D$75,$B16,Rates_data!$E$2:$E$75,$C16,Rates_data!$G$2:$G$75,$E16,Rates_data!$Y$2:$Y$75,1))</f>
        <v>723.45</v>
      </c>
      <c r="M16" s="8" t="n">
        <f aca="false">IF(COUNTIFS(Rates_data!$B$2:$B$75,$A16,Rates_data!$D$2:$D$75,$B16,Rates_data!$E$2:$E$75,$C16,Rates_data!$G$2:$G$75,$E16,Rates_data!$Y$2:$Y$75,1,Rates_data!$U$2:$U$75,"&lt;&gt;")=0,"",_xlfn.MAXIFS(Rates_data!$U$2:$U$75,Rates_data!$B$2:$B$75,$A16,Rates_data!$D$2:$D$75,$B16,Rates_data!$E$2:$E$75,$C16,Rates_data!$G$2:$G$75,$E16,Rates_data!$Y$2:$Y$75,1))</f>
        <v>723.45</v>
      </c>
      <c r="N16" s="7" t="s">
        <v>44</v>
      </c>
      <c r="O16" s="10" t="n">
        <f aca="false">IF(K16&lt;&gt;"",K16,H16)</f>
        <v>723.45</v>
      </c>
      <c r="P16" s="7" t="str">
        <f aca="false">IF(K16&lt;&gt;"","median allowed","median negotiated")</f>
        <v>median allowed</v>
      </c>
    </row>
    <row r="17" customFormat="false" ht="15" hidden="false" customHeight="false" outlineLevel="0" collapsed="false">
      <c r="A17" s="7" t="s">
        <v>39</v>
      </c>
      <c r="B17" s="7" t="s">
        <v>60</v>
      </c>
      <c r="C17" s="7" t="s">
        <v>54</v>
      </c>
      <c r="D17" s="7" t="s">
        <v>55</v>
      </c>
      <c r="E17" s="7" t="s">
        <v>43</v>
      </c>
      <c r="F17" s="7" t="n">
        <f aca="false">COUNTIFS(Rates_data!$B$2:$B$75,$A17,Rates_data!$D$2:$D$75,$B17,Rates_data!$E$2:$E$75,$C17,Rates_data!$G$2:$G$75,$E17,Rates_data!$Y$2:$Y$75,1)</f>
        <v>2</v>
      </c>
      <c r="G17" s="8" t="n">
        <f aca="false">_xlfn.MINIFS(Rates_data!$P$2:$P$75,Rates_data!$B$2:$B$75,$A17,Rates_data!$D$2:$D$75,$B17,Rates_data!$E$2:$E$75,$C17,Rates_data!$G$2:$G$75,$E17,Rates_data!$Y$2:$Y$75,1)</f>
        <v>419.02</v>
      </c>
      <c r="H17" s="8" t="n">
        <f aca="false" t="array" ref="H17:H17">MEDIAN(IF((Rates_data!$B$2:$B$75=$A17)*(Rates_data!$D$2:$D$75=$B17)*(Rates_data!$G$2:$G$75=$E17)*(Rates_data!$E$2:$E$75=$C17)*(Rates_data!$Y$2:$Y$75=1)*(Rates_data!$P$2:$P$75&lt;&gt;""),Rates_data!$P$2:$P$75))</f>
        <v>429.35</v>
      </c>
      <c r="I17" s="8" t="n">
        <f aca="false">_xlfn.MAXIFS(Rates_data!$P$2:$P$75,Rates_data!$B$2:$B$75,$A17,Rates_data!$D$2:$D$75,$B17,Rates_data!$E$2:$E$75,$C17,Rates_data!$G$2:$G$75,$E17,Rates_data!$Y$2:$Y$75,1)</f>
        <v>439.68</v>
      </c>
      <c r="J17" s="9" t="n">
        <f aca="false">IF(F17=0,"",SUMIFS(Rates_data!$R$2:$R$75,Rates_data!$B$2:$B$75,$A17,Rates_data!$D$2:$D$75,$B17,Rates_data!$E$2:$E$75,$C17,Rates_data!$G$2:$G$75,$E17,Rates_data!$Y$2:$Y$75,1)/F17)</f>
        <v>1</v>
      </c>
      <c r="K17" s="8" t="n">
        <f aca="false" t="array" ref="K17:K17">IF(COUNTIFS(Rates_data!$B$2:$B$75,$A17,Rates_data!$D$2:$D$75,$B17,Rates_data!$E$2:$E$75,$C17,Rates_data!$G$2:$G$75,$E17,Rates_data!$Y$2:$Y$75,1,Rates_data!$S$2:$S$75,"&lt;&gt;")=0,"",MEDIAN(IF((Rates_data!$B$2:$B$75=$A17)*(Rates_data!$D$2:$D$75=$B17)*(Rates_data!$G$2:$G$75=$E17)*(Rates_data!$E$2:$E$75=$C17)*(Rates_data!$Y$2:$Y$75=1)*(Rates_data!$S$2:$S$75&lt;&gt;""),Rates_data!$S$2:$S$75)))</f>
        <v>425.165</v>
      </c>
      <c r="L17" s="8" t="n">
        <f aca="false">IF(COUNTIFS(Rates_data!$B$2:$B$75,$A17,Rates_data!$D$2:$D$75,$B17,Rates_data!$E$2:$E$75,$C17,Rates_data!$G$2:$G$75,$E17,Rates_data!$Y$2:$Y$75,1,Rates_data!$T$2:$T$75,"&lt;&gt;")=0,"",_xlfn.MINIFS(Rates_data!$T$2:$T$75,Rates_data!$B$2:$B$75,$A17,Rates_data!$D$2:$D$75,$B17,Rates_data!$E$2:$E$75,$C17,Rates_data!$G$2:$G$75,$E17,Rates_data!$Y$2:$Y$75,1))</f>
        <v>352.82</v>
      </c>
      <c r="M17" s="8" t="n">
        <f aca="false">IF(COUNTIFS(Rates_data!$B$2:$B$75,$A17,Rates_data!$D$2:$D$75,$B17,Rates_data!$E$2:$E$75,$C17,Rates_data!$G$2:$G$75,$E17,Rates_data!$Y$2:$Y$75,1,Rates_data!$U$2:$U$75,"&lt;&gt;")=0,"",_xlfn.MAXIFS(Rates_data!$U$2:$U$75,Rates_data!$B$2:$B$75,$A17,Rates_data!$D$2:$D$75,$B17,Rates_data!$E$2:$E$75,$C17,Rates_data!$G$2:$G$75,$E17,Rates_data!$Y$2:$Y$75,1))</f>
        <v>435.18</v>
      </c>
      <c r="N17" s="7" t="s">
        <v>56</v>
      </c>
      <c r="O17" s="10" t="n">
        <f aca="false">IF(K17&lt;&gt;"",K17,H17)</f>
        <v>425.165</v>
      </c>
      <c r="P17" s="7" t="str">
        <f aca="false">IF(K17&lt;&gt;"","median allowed","median negotiated")</f>
        <v>median allowed</v>
      </c>
    </row>
    <row r="18" customFormat="false" ht="15" hidden="false" customHeight="false" outlineLevel="0" collapsed="false">
      <c r="A18" s="7" t="s">
        <v>39</v>
      </c>
      <c r="B18" s="7" t="s">
        <v>60</v>
      </c>
      <c r="C18" s="7" t="s">
        <v>41</v>
      </c>
      <c r="D18" s="7" t="s">
        <v>42</v>
      </c>
      <c r="E18" s="7" t="s">
        <v>43</v>
      </c>
      <c r="F18" s="7" t="n">
        <f aca="false">COUNTIFS(Rates_data!$B$2:$B$75,$A18,Rates_data!$D$2:$D$75,$B18,Rates_data!$E$2:$E$75,$C18,Rates_data!$G$2:$G$75,$E18,Rates_data!$Y$2:$Y$75,1)</f>
        <v>2</v>
      </c>
      <c r="G18" s="8" t="n">
        <f aca="false">_xlfn.MINIFS(Rates_data!$P$2:$P$75,Rates_data!$B$2:$B$75,$A18,Rates_data!$D$2:$D$75,$B18,Rates_data!$E$2:$E$75,$C18,Rates_data!$G$2:$G$75,$E18,Rates_data!$Y$2:$Y$75,1)</f>
        <v>492.49</v>
      </c>
      <c r="H18" s="8" t="n">
        <f aca="false" t="array" ref="H18:H18">MEDIAN(IF((Rates_data!$B$2:$B$75=$A18)*(Rates_data!$D$2:$D$75=$B18)*(Rates_data!$G$2:$G$75=$E18)*(Rates_data!$E$2:$E$75=$C18)*(Rates_data!$Y$2:$Y$75=1)*(Rates_data!$P$2:$P$75&lt;&gt;""),Rates_data!$P$2:$P$75))</f>
        <v>715.32</v>
      </c>
      <c r="I18" s="8" t="n">
        <f aca="false">_xlfn.MAXIFS(Rates_data!$P$2:$P$75,Rates_data!$B$2:$B$75,$A18,Rates_data!$D$2:$D$75,$B18,Rates_data!$E$2:$E$75,$C18,Rates_data!$G$2:$G$75,$E18,Rates_data!$Y$2:$Y$75,1)</f>
        <v>938.15</v>
      </c>
      <c r="J18" s="9" t="n">
        <f aca="false">IF(F18=0,"",SUMIFS(Rates_data!$R$2:$R$75,Rates_data!$B$2:$B$75,$A18,Rates_data!$D$2:$D$75,$B18,Rates_data!$E$2:$E$75,$C18,Rates_data!$G$2:$G$75,$E18,Rates_data!$Y$2:$Y$75,1)/F18)</f>
        <v>1</v>
      </c>
      <c r="K18" s="8" t="n">
        <f aca="false" t="array" ref="K18:K18">IF(COUNTIFS(Rates_data!$B$2:$B$75,$A18,Rates_data!$D$2:$D$75,$B18,Rates_data!$E$2:$E$75,$C18,Rates_data!$G$2:$G$75,$E18,Rates_data!$Y$2:$Y$75,1,Rates_data!$S$2:$S$75,"&lt;&gt;")=0,"",MEDIAN(IF((Rates_data!$B$2:$B$75=$A18)*(Rates_data!$D$2:$D$75=$B18)*(Rates_data!$G$2:$G$75=$E18)*(Rates_data!$E$2:$E$75=$C18)*(Rates_data!$Y$2:$Y$75=1)*(Rates_data!$S$2:$S$75&lt;&gt;""),Rates_data!$S$2:$S$75)))</f>
        <v>889.73</v>
      </c>
      <c r="L18" s="8" t="n">
        <f aca="false">IF(COUNTIFS(Rates_data!$B$2:$B$75,$A18,Rates_data!$D$2:$D$75,$B18,Rates_data!$E$2:$E$75,$C18,Rates_data!$G$2:$G$75,$E18,Rates_data!$Y$2:$Y$75,1,Rates_data!$T$2:$T$75,"&lt;&gt;")=0,"",_xlfn.MINIFS(Rates_data!$T$2:$T$75,Rates_data!$B$2:$B$75,$A18,Rates_data!$D$2:$D$75,$B18,Rates_data!$E$2:$E$75,$C18,Rates_data!$G$2:$G$75,$E18,Rates_data!$Y$2:$Y$75,1))</f>
        <v>889.73</v>
      </c>
      <c r="M18" s="8" t="n">
        <f aca="false">IF(COUNTIFS(Rates_data!$B$2:$B$75,$A18,Rates_data!$D$2:$D$75,$B18,Rates_data!$E$2:$E$75,$C18,Rates_data!$G$2:$G$75,$E18,Rates_data!$Y$2:$Y$75,1,Rates_data!$U$2:$U$75,"&lt;&gt;")=0,"",_xlfn.MAXIFS(Rates_data!$U$2:$U$75,Rates_data!$B$2:$B$75,$A18,Rates_data!$D$2:$D$75,$B18,Rates_data!$E$2:$E$75,$C18,Rates_data!$G$2:$G$75,$E18,Rates_data!$Y$2:$Y$75,1))</f>
        <v>1444.72</v>
      </c>
      <c r="N18" s="7" t="s">
        <v>62</v>
      </c>
      <c r="O18" s="10" t="n">
        <f aca="false">IF(K18&lt;&gt;"",K18,H18)</f>
        <v>889.73</v>
      </c>
      <c r="P18" s="7" t="str">
        <f aca="false">IF(K18&lt;&gt;"","median allowed","median negotiated")</f>
        <v>median allowed</v>
      </c>
    </row>
    <row r="19" customFormat="false" ht="15" hidden="false" customHeight="false" outlineLevel="0" collapsed="false">
      <c r="A19" s="7" t="s">
        <v>39</v>
      </c>
      <c r="B19" s="7" t="s">
        <v>60</v>
      </c>
      <c r="C19" s="7" t="s">
        <v>58</v>
      </c>
      <c r="D19" s="7" t="s">
        <v>59</v>
      </c>
      <c r="E19" s="7" t="s">
        <v>43</v>
      </c>
      <c r="F19" s="7" t="n">
        <f aca="false">COUNTIFS(Rates_data!$B$2:$B$75,$A19,Rates_data!$D$2:$D$75,$B19,Rates_data!$E$2:$E$75,$C19,Rates_data!$G$2:$G$75,$E19,Rates_data!$Y$2:$Y$75,1)</f>
        <v>1</v>
      </c>
      <c r="G19" s="8" t="n">
        <f aca="false">_xlfn.MINIFS(Rates_data!$P$2:$P$75,Rates_data!$B$2:$B$75,$A19,Rates_data!$D$2:$D$75,$B19,Rates_data!$E$2:$E$75,$C19,Rates_data!$G$2:$G$75,$E19,Rates_data!$Y$2:$Y$75,1)</f>
        <v>846.99</v>
      </c>
      <c r="H19" s="8" t="n">
        <f aca="false" t="array" ref="H19:H19">MEDIAN(IF((Rates_data!$B$2:$B$75=$A19)*(Rates_data!$D$2:$D$75=$B19)*(Rates_data!$G$2:$G$75=$E19)*(Rates_data!$E$2:$E$75=$C19)*(Rates_data!$Y$2:$Y$75=1)*(Rates_data!$P$2:$P$75&lt;&gt;""),Rates_data!$P$2:$P$75))</f>
        <v>846.99</v>
      </c>
      <c r="I19" s="8" t="n">
        <f aca="false">_xlfn.MAXIFS(Rates_data!$P$2:$P$75,Rates_data!$B$2:$B$75,$A19,Rates_data!$D$2:$D$75,$B19,Rates_data!$E$2:$E$75,$C19,Rates_data!$G$2:$G$75,$E19,Rates_data!$Y$2:$Y$75,1)</f>
        <v>846.99</v>
      </c>
      <c r="J19" s="9" t="n">
        <f aca="false">IF(F19=0,"",SUMIFS(Rates_data!$R$2:$R$75,Rates_data!$B$2:$B$75,$A19,Rates_data!$D$2:$D$75,$B19,Rates_data!$E$2:$E$75,$C19,Rates_data!$G$2:$G$75,$E19,Rates_data!$Y$2:$Y$75,1)/F19)</f>
        <v>1</v>
      </c>
      <c r="K19" s="8" t="n">
        <f aca="false" t="array" ref="K19:K19">IF(COUNTIFS(Rates_data!$B$2:$B$75,$A19,Rates_data!$D$2:$D$75,$B19,Rates_data!$E$2:$E$75,$C19,Rates_data!$G$2:$G$75,$E19,Rates_data!$Y$2:$Y$75,1,Rates_data!$S$2:$S$75,"&lt;&gt;")=0,"",MEDIAN(IF((Rates_data!$B$2:$B$75=$A19)*(Rates_data!$D$2:$D$75=$B19)*(Rates_data!$G$2:$G$75=$E19)*(Rates_data!$E$2:$E$75=$C19)*(Rates_data!$Y$2:$Y$75=1)*(Rates_data!$S$2:$S$75&lt;&gt;""),Rates_data!$S$2:$S$75)))</f>
        <v>828.63</v>
      </c>
      <c r="L19" s="8" t="n">
        <f aca="false">IF(COUNTIFS(Rates_data!$B$2:$B$75,$A19,Rates_data!$D$2:$D$75,$B19,Rates_data!$E$2:$E$75,$C19,Rates_data!$G$2:$G$75,$E19,Rates_data!$Y$2:$Y$75,1,Rates_data!$T$2:$T$75,"&lt;&gt;")=0,"",_xlfn.MINIFS(Rates_data!$T$2:$T$75,Rates_data!$B$2:$B$75,$A19,Rates_data!$D$2:$D$75,$B19,Rates_data!$E$2:$E$75,$C19,Rates_data!$G$2:$G$75,$E19,Rates_data!$Y$2:$Y$75,1))</f>
        <v>828.63</v>
      </c>
      <c r="M19" s="8" t="n">
        <f aca="false">IF(COUNTIFS(Rates_data!$B$2:$B$75,$A19,Rates_data!$D$2:$D$75,$B19,Rates_data!$E$2:$E$75,$C19,Rates_data!$G$2:$G$75,$E19,Rates_data!$Y$2:$Y$75,1,Rates_data!$U$2:$U$75,"&lt;&gt;")=0,"",_xlfn.MAXIFS(Rates_data!$U$2:$U$75,Rates_data!$B$2:$B$75,$A19,Rates_data!$D$2:$D$75,$B19,Rates_data!$E$2:$E$75,$C19,Rates_data!$G$2:$G$75,$E19,Rates_data!$Y$2:$Y$75,1))</f>
        <v>828.63</v>
      </c>
      <c r="N19" s="7" t="s">
        <v>44</v>
      </c>
      <c r="O19" s="10" t="n">
        <f aca="false">IF(K19&lt;&gt;"",K19,H19)</f>
        <v>828.63</v>
      </c>
      <c r="P19" s="7" t="str">
        <f aca="false">IF(K19&lt;&gt;"","median allowed","median negotiated")</f>
        <v>median allowed</v>
      </c>
    </row>
    <row r="20" customFormat="false" ht="15" hidden="false" customHeight="false" outlineLevel="0" collapsed="false">
      <c r="A20" s="7" t="s">
        <v>39</v>
      </c>
      <c r="B20" s="7" t="s">
        <v>60</v>
      </c>
      <c r="C20" s="7" t="s">
        <v>63</v>
      </c>
      <c r="D20" s="7" t="s">
        <v>64</v>
      </c>
      <c r="E20" s="7" t="s">
        <v>65</v>
      </c>
      <c r="F20" s="7" t="n">
        <f aca="false">COUNTIFS(Rates_data!$B$2:$B$75,$A20,Rates_data!$D$2:$D$75,$B20,Rates_data!$E$2:$E$75,$C20,Rates_data!$G$2:$G$75,$E20,Rates_data!$Y$2:$Y$75,1)</f>
        <v>1</v>
      </c>
      <c r="G20" s="8" t="n">
        <f aca="false">_xlfn.MINIFS(Rates_data!$P$2:$P$75,Rates_data!$B$2:$B$75,$A20,Rates_data!$D$2:$D$75,$B20,Rates_data!$E$2:$E$75,$C20,Rates_data!$G$2:$G$75,$E20,Rates_data!$Y$2:$Y$75,1)</f>
        <v>369.77</v>
      </c>
      <c r="H20" s="8" t="n">
        <f aca="false" t="array" ref="H20:H20">MEDIAN(IF((Rates_data!$B$2:$B$75=$A20)*(Rates_data!$D$2:$D$75=$B20)*(Rates_data!$G$2:$G$75=$E20)*(Rates_data!$E$2:$E$75=$C20)*(Rates_data!$Y$2:$Y$75=1)*(Rates_data!$P$2:$P$75&lt;&gt;""),Rates_data!$P$2:$P$75))</f>
        <v>369.77</v>
      </c>
      <c r="I20" s="8" t="n">
        <f aca="false">_xlfn.MAXIFS(Rates_data!$P$2:$P$75,Rates_data!$B$2:$B$75,$A20,Rates_data!$D$2:$D$75,$B20,Rates_data!$E$2:$E$75,$C20,Rates_data!$G$2:$G$75,$E20,Rates_data!$Y$2:$Y$75,1)</f>
        <v>369.77</v>
      </c>
      <c r="J20" s="9" t="n">
        <f aca="false">IF(F20=0,"",SUMIFS(Rates_data!$R$2:$R$75,Rates_data!$B$2:$B$75,$A20,Rates_data!$D$2:$D$75,$B20,Rates_data!$E$2:$E$75,$C20,Rates_data!$G$2:$G$75,$E20,Rates_data!$Y$2:$Y$75,1)/F20)</f>
        <v>0</v>
      </c>
      <c r="K20" s="8" t="n">
        <f aca="false" t="array" ref="K20:K20">IF(COUNTIFS(Rates_data!$B$2:$B$75,$A20,Rates_data!$D$2:$D$75,$B20,Rates_data!$E$2:$E$75,$C20,Rates_data!$G$2:$G$75,$E20,Rates_data!$Y$2:$Y$75,1,Rates_data!$S$2:$S$75,"&lt;&gt;")=0,"",MEDIAN(IF((Rates_data!$B$2:$B$75=$A20)*(Rates_data!$D$2:$D$75=$B20)*(Rates_data!$G$2:$G$75=$E20)*(Rates_data!$E$2:$E$75=$C20)*(Rates_data!$Y$2:$Y$75=1)*(Rates_data!$S$2:$S$75&lt;&gt;""),Rates_data!$S$2:$S$75)))</f>
        <v>365.12</v>
      </c>
      <c r="L20" s="8" t="n">
        <f aca="false">IF(COUNTIFS(Rates_data!$B$2:$B$75,$A20,Rates_data!$D$2:$D$75,$B20,Rates_data!$E$2:$E$75,$C20,Rates_data!$G$2:$G$75,$E20,Rates_data!$Y$2:$Y$75,1,Rates_data!$T$2:$T$75,"&lt;&gt;")=0,"",_xlfn.MINIFS(Rates_data!$T$2:$T$75,Rates_data!$B$2:$B$75,$A20,Rates_data!$D$2:$D$75,$B20,Rates_data!$E$2:$E$75,$C20,Rates_data!$G$2:$G$75,$E20,Rates_data!$Y$2:$Y$75,1))</f>
        <v>363.89</v>
      </c>
      <c r="M20" s="8" t="n">
        <f aca="false">IF(COUNTIFS(Rates_data!$B$2:$B$75,$A20,Rates_data!$D$2:$D$75,$B20,Rates_data!$E$2:$E$75,$C20,Rates_data!$G$2:$G$75,$E20,Rates_data!$Y$2:$Y$75,1,Rates_data!$U$2:$U$75,"&lt;&gt;")=0,"",_xlfn.MAXIFS(Rates_data!$U$2:$U$75,Rates_data!$B$2:$B$75,$A20,Rates_data!$D$2:$D$75,$B20,Rates_data!$E$2:$E$75,$C20,Rates_data!$G$2:$G$75,$E20,Rates_data!$Y$2:$Y$75,1))</f>
        <v>365.12</v>
      </c>
      <c r="N20" s="7" t="s">
        <v>44</v>
      </c>
      <c r="O20" s="10" t="n">
        <f aca="false">IF(K20&lt;&gt;"",K20,H20)</f>
        <v>365.12</v>
      </c>
      <c r="P20" s="7" t="str">
        <f aca="false">IF(K20&lt;&gt;"","median allowed","median negotiated")</f>
        <v>median allowed</v>
      </c>
    </row>
    <row r="21" customFormat="false" ht="15" hidden="false" customHeight="false" outlineLevel="0" collapsed="false">
      <c r="A21" s="7" t="s">
        <v>39</v>
      </c>
      <c r="B21" s="7" t="s">
        <v>60</v>
      </c>
      <c r="C21" s="7" t="s">
        <v>66</v>
      </c>
      <c r="D21" s="7" t="s">
        <v>67</v>
      </c>
      <c r="E21" s="7" t="s">
        <v>68</v>
      </c>
      <c r="F21" s="7" t="n">
        <f aca="false">COUNTIFS(Rates_data!$B$2:$B$75,$A21,Rates_data!$D$2:$D$75,$B21,Rates_data!$E$2:$E$75,$C21,Rates_data!$G$2:$G$75,$E21,Rates_data!$Y$2:$Y$75,1)</f>
        <v>1</v>
      </c>
      <c r="G21" s="8" t="n">
        <f aca="false">_xlfn.MINIFS(Rates_data!$P$2:$P$75,Rates_data!$B$2:$B$75,$A21,Rates_data!$D$2:$D$75,$B21,Rates_data!$E$2:$E$75,$C21,Rates_data!$G$2:$G$75,$E21,Rates_data!$Y$2:$Y$75,1)</f>
        <v>369.77</v>
      </c>
      <c r="H21" s="8" t="n">
        <f aca="false" t="array" ref="H21:H21">MEDIAN(IF((Rates_data!$B$2:$B$75=$A21)*(Rates_data!$D$2:$D$75=$B21)*(Rates_data!$G$2:$G$75=$E21)*(Rates_data!$E$2:$E$75=$C21)*(Rates_data!$Y$2:$Y$75=1)*(Rates_data!$P$2:$P$75&lt;&gt;""),Rates_data!$P$2:$P$75))</f>
        <v>369.77</v>
      </c>
      <c r="I21" s="8" t="n">
        <f aca="false">_xlfn.MAXIFS(Rates_data!$P$2:$P$75,Rates_data!$B$2:$B$75,$A21,Rates_data!$D$2:$D$75,$B21,Rates_data!$E$2:$E$75,$C21,Rates_data!$G$2:$G$75,$E21,Rates_data!$Y$2:$Y$75,1)</f>
        <v>369.77</v>
      </c>
      <c r="J21" s="9" t="n">
        <f aca="false">IF(F21=0,"",SUMIFS(Rates_data!$R$2:$R$75,Rates_data!$B$2:$B$75,$A21,Rates_data!$D$2:$D$75,$B21,Rates_data!$E$2:$E$75,$C21,Rates_data!$G$2:$G$75,$E21,Rates_data!$Y$2:$Y$75,1)/F21)</f>
        <v>0</v>
      </c>
      <c r="K21" s="8" t="n">
        <f aca="false" t="array" ref="K21:K21">IF(COUNTIFS(Rates_data!$B$2:$B$75,$A21,Rates_data!$D$2:$D$75,$B21,Rates_data!$E$2:$E$75,$C21,Rates_data!$G$2:$G$75,$E21,Rates_data!$Y$2:$Y$75,1,Rates_data!$S$2:$S$75,"&lt;&gt;")=0,"",MEDIAN(IF((Rates_data!$B$2:$B$75=$A21)*(Rates_data!$D$2:$D$75=$B21)*(Rates_data!$G$2:$G$75=$E21)*(Rates_data!$E$2:$E$75=$C21)*(Rates_data!$Y$2:$Y$75=1)*(Rates_data!$S$2:$S$75&lt;&gt;""),Rates_data!$S$2:$S$75)))</f>
        <v>363.89</v>
      </c>
      <c r="L21" s="8" t="n">
        <f aca="false">IF(COUNTIFS(Rates_data!$B$2:$B$75,$A21,Rates_data!$D$2:$D$75,$B21,Rates_data!$E$2:$E$75,$C21,Rates_data!$G$2:$G$75,$E21,Rates_data!$Y$2:$Y$75,1,Rates_data!$T$2:$T$75,"&lt;&gt;")=0,"",_xlfn.MINIFS(Rates_data!$T$2:$T$75,Rates_data!$B$2:$B$75,$A21,Rates_data!$D$2:$D$75,$B21,Rates_data!$E$2:$E$75,$C21,Rates_data!$G$2:$G$75,$E21,Rates_data!$Y$2:$Y$75,1))</f>
        <v>363.89</v>
      </c>
      <c r="M21" s="8" t="n">
        <f aca="false">IF(COUNTIFS(Rates_data!$B$2:$B$75,$A21,Rates_data!$D$2:$D$75,$B21,Rates_data!$E$2:$E$75,$C21,Rates_data!$G$2:$G$75,$E21,Rates_data!$Y$2:$Y$75,1,Rates_data!$U$2:$U$75,"&lt;&gt;")=0,"",_xlfn.MAXIFS(Rates_data!$U$2:$U$75,Rates_data!$B$2:$B$75,$A21,Rates_data!$D$2:$D$75,$B21,Rates_data!$E$2:$E$75,$C21,Rates_data!$G$2:$G$75,$E21,Rates_data!$Y$2:$Y$75,1))</f>
        <v>369.81</v>
      </c>
      <c r="N21" s="7" t="s">
        <v>44</v>
      </c>
      <c r="O21" s="10" t="n">
        <f aca="false">IF(K21&lt;&gt;"",K21,H21)</f>
        <v>363.89</v>
      </c>
      <c r="P21" s="7" t="str">
        <f aca="false">IF(K21&lt;&gt;"","median allowed","median negotiated")</f>
        <v>median allowed</v>
      </c>
    </row>
    <row r="22" customFormat="false" ht="15" hidden="false" customHeight="false" outlineLevel="0" collapsed="false">
      <c r="A22" s="7" t="s">
        <v>39</v>
      </c>
      <c r="B22" s="7" t="s">
        <v>60</v>
      </c>
      <c r="C22" s="7" t="s">
        <v>69</v>
      </c>
      <c r="D22" s="7" t="s">
        <v>70</v>
      </c>
      <c r="E22" s="7" t="s">
        <v>68</v>
      </c>
      <c r="F22" s="7" t="n">
        <f aca="false">COUNTIFS(Rates_data!$B$2:$B$75,$A22,Rates_data!$D$2:$D$75,$B22,Rates_data!$E$2:$E$75,$C22,Rates_data!$G$2:$G$75,$E22,Rates_data!$Y$2:$Y$75,1)</f>
        <v>1</v>
      </c>
      <c r="G22" s="8" t="n">
        <f aca="false">_xlfn.MINIFS(Rates_data!$P$2:$P$75,Rates_data!$B$2:$B$75,$A22,Rates_data!$D$2:$D$75,$B22,Rates_data!$E$2:$E$75,$C22,Rates_data!$G$2:$G$75,$E22,Rates_data!$Y$2:$Y$75,1)</f>
        <v>369.77</v>
      </c>
      <c r="H22" s="8" t="n">
        <f aca="false" t="array" ref="H22:H22">MEDIAN(IF((Rates_data!$B$2:$B$75=$A22)*(Rates_data!$D$2:$D$75=$B22)*(Rates_data!$G$2:$G$75=$E22)*(Rates_data!$E$2:$E$75=$C22)*(Rates_data!$Y$2:$Y$75=1)*(Rates_data!$P$2:$P$75&lt;&gt;""),Rates_data!$P$2:$P$75))</f>
        <v>369.77</v>
      </c>
      <c r="I22" s="8" t="n">
        <f aca="false">_xlfn.MAXIFS(Rates_data!$P$2:$P$75,Rates_data!$B$2:$B$75,$A22,Rates_data!$D$2:$D$75,$B22,Rates_data!$E$2:$E$75,$C22,Rates_data!$G$2:$G$75,$E22,Rates_data!$Y$2:$Y$75,1)</f>
        <v>369.77</v>
      </c>
      <c r="J22" s="9" t="n">
        <f aca="false">IF(F22=0,"",SUMIFS(Rates_data!$R$2:$R$75,Rates_data!$B$2:$B$75,$A22,Rates_data!$D$2:$D$75,$B22,Rates_data!$E$2:$E$75,$C22,Rates_data!$G$2:$G$75,$E22,Rates_data!$Y$2:$Y$75,1)/F22)</f>
        <v>0</v>
      </c>
      <c r="K22" s="8" t="n">
        <f aca="false" t="array" ref="K22:K22">IF(COUNTIFS(Rates_data!$B$2:$B$75,$A22,Rates_data!$D$2:$D$75,$B22,Rates_data!$E$2:$E$75,$C22,Rates_data!$G$2:$G$75,$E22,Rates_data!$Y$2:$Y$75,1,Rates_data!$S$2:$S$75,"&lt;&gt;")=0,"",MEDIAN(IF((Rates_data!$B$2:$B$75=$A22)*(Rates_data!$D$2:$D$75=$B22)*(Rates_data!$G$2:$G$75=$E22)*(Rates_data!$E$2:$E$75=$C22)*(Rates_data!$Y$2:$Y$75=1)*(Rates_data!$S$2:$S$75&lt;&gt;""),Rates_data!$S$2:$S$75)))</f>
        <v>365.37</v>
      </c>
      <c r="L22" s="8" t="n">
        <f aca="false">IF(COUNTIFS(Rates_data!$B$2:$B$75,$A22,Rates_data!$D$2:$D$75,$B22,Rates_data!$E$2:$E$75,$C22,Rates_data!$G$2:$G$75,$E22,Rates_data!$Y$2:$Y$75,1,Rates_data!$T$2:$T$75,"&lt;&gt;")=0,"",_xlfn.MINIFS(Rates_data!$T$2:$T$75,Rates_data!$B$2:$B$75,$A22,Rates_data!$D$2:$D$75,$B22,Rates_data!$E$2:$E$75,$C22,Rates_data!$G$2:$G$75,$E22,Rates_data!$Y$2:$Y$75,1))</f>
        <v>365.37</v>
      </c>
      <c r="M22" s="8" t="n">
        <f aca="false">IF(COUNTIFS(Rates_data!$B$2:$B$75,$A22,Rates_data!$D$2:$D$75,$B22,Rates_data!$E$2:$E$75,$C22,Rates_data!$G$2:$G$75,$E22,Rates_data!$Y$2:$Y$75,1,Rates_data!$U$2:$U$75,"&lt;&gt;")=0,"",_xlfn.MAXIFS(Rates_data!$U$2:$U$75,Rates_data!$B$2:$B$75,$A22,Rates_data!$D$2:$D$75,$B22,Rates_data!$E$2:$E$75,$C22,Rates_data!$G$2:$G$75,$E22,Rates_data!$Y$2:$Y$75,1))</f>
        <v>365.37</v>
      </c>
      <c r="N22" s="7" t="s">
        <v>44</v>
      </c>
      <c r="O22" s="10" t="n">
        <f aca="false">IF(K22&lt;&gt;"",K22,H22)</f>
        <v>365.37</v>
      </c>
      <c r="P22" s="7" t="str">
        <f aca="false">IF(K22&lt;&gt;"","median allowed","median negotiated")</f>
        <v>median allowed</v>
      </c>
    </row>
    <row r="23" customFormat="false" ht="15" hidden="false" customHeight="false" outlineLevel="0" collapsed="false">
      <c r="A23" s="7" t="s">
        <v>39</v>
      </c>
      <c r="B23" s="7" t="s">
        <v>60</v>
      </c>
      <c r="C23" s="7" t="s">
        <v>54</v>
      </c>
      <c r="D23" s="7" t="s">
        <v>55</v>
      </c>
      <c r="E23" s="7" t="s">
        <v>68</v>
      </c>
      <c r="F23" s="7" t="n">
        <f aca="false">COUNTIFS(Rates_data!$B$2:$B$75,$A23,Rates_data!$D$2:$D$75,$B23,Rates_data!$E$2:$E$75,$C23,Rates_data!$G$2:$G$75,$E23,Rates_data!$Y$2:$Y$75,1)</f>
        <v>1</v>
      </c>
      <c r="G23" s="8" t="n">
        <f aca="false">_xlfn.MINIFS(Rates_data!$P$2:$P$75,Rates_data!$B$2:$B$75,$A23,Rates_data!$D$2:$D$75,$B23,Rates_data!$E$2:$E$75,$C23,Rates_data!$G$2:$G$75,$E23,Rates_data!$Y$2:$Y$75,1)</f>
        <v>369.77</v>
      </c>
      <c r="H23" s="8" t="n">
        <f aca="false" t="array" ref="H23:H23">MEDIAN(IF((Rates_data!$B$2:$B$75=$A23)*(Rates_data!$D$2:$D$75=$B23)*(Rates_data!$G$2:$G$75=$E23)*(Rates_data!$E$2:$E$75=$C23)*(Rates_data!$Y$2:$Y$75=1)*(Rates_data!$P$2:$P$75&lt;&gt;""),Rates_data!$P$2:$P$75))</f>
        <v>369.77</v>
      </c>
      <c r="I23" s="8" t="n">
        <f aca="false">_xlfn.MAXIFS(Rates_data!$P$2:$P$75,Rates_data!$B$2:$B$75,$A23,Rates_data!$D$2:$D$75,$B23,Rates_data!$E$2:$E$75,$C23,Rates_data!$G$2:$G$75,$E23,Rates_data!$Y$2:$Y$75,1)</f>
        <v>369.77</v>
      </c>
      <c r="J23" s="9" t="n">
        <f aca="false">IF(F23=0,"",SUMIFS(Rates_data!$R$2:$R$75,Rates_data!$B$2:$B$75,$A23,Rates_data!$D$2:$D$75,$B23,Rates_data!$E$2:$E$75,$C23,Rates_data!$G$2:$G$75,$E23,Rates_data!$Y$2:$Y$75,1)/F23)</f>
        <v>0</v>
      </c>
      <c r="K23" s="8" t="n">
        <f aca="false" t="array" ref="K23:K23">IF(COUNTIFS(Rates_data!$B$2:$B$75,$A23,Rates_data!$D$2:$D$75,$B23,Rates_data!$E$2:$E$75,$C23,Rates_data!$G$2:$G$75,$E23,Rates_data!$Y$2:$Y$75,1,Rates_data!$S$2:$S$75,"&lt;&gt;")=0,"",MEDIAN(IF((Rates_data!$B$2:$B$75=$A23)*(Rates_data!$D$2:$D$75=$B23)*(Rates_data!$G$2:$G$75=$E23)*(Rates_data!$E$2:$E$75=$C23)*(Rates_data!$Y$2:$Y$75=1)*(Rates_data!$S$2:$S$75&lt;&gt;""),Rates_data!$S$2:$S$75)))</f>
        <v>336.12</v>
      </c>
      <c r="L23" s="8" t="n">
        <f aca="false">IF(COUNTIFS(Rates_data!$B$2:$B$75,$A23,Rates_data!$D$2:$D$75,$B23,Rates_data!$E$2:$E$75,$C23,Rates_data!$G$2:$G$75,$E23,Rates_data!$Y$2:$Y$75,1,Rates_data!$T$2:$T$75,"&lt;&gt;")=0,"",_xlfn.MINIFS(Rates_data!$T$2:$T$75,Rates_data!$B$2:$B$75,$A23,Rates_data!$D$2:$D$75,$B23,Rates_data!$E$2:$E$75,$C23,Rates_data!$G$2:$G$75,$E23,Rates_data!$Y$2:$Y$75,1))</f>
        <v>336.12</v>
      </c>
      <c r="M23" s="8" t="n">
        <f aca="false">IF(COUNTIFS(Rates_data!$B$2:$B$75,$A23,Rates_data!$D$2:$D$75,$B23,Rates_data!$E$2:$E$75,$C23,Rates_data!$G$2:$G$75,$E23,Rates_data!$Y$2:$Y$75,1,Rates_data!$U$2:$U$75,"&lt;&gt;")=0,"",_xlfn.MAXIFS(Rates_data!$U$2:$U$75,Rates_data!$B$2:$B$75,$A23,Rates_data!$D$2:$D$75,$B23,Rates_data!$E$2:$E$75,$C23,Rates_data!$G$2:$G$75,$E23,Rates_data!$Y$2:$Y$75,1))</f>
        <v>336.12</v>
      </c>
      <c r="N23" s="7" t="s">
        <v>44</v>
      </c>
      <c r="O23" s="10" t="n">
        <f aca="false">IF(K23&lt;&gt;"",K23,H23)</f>
        <v>336.12</v>
      </c>
      <c r="P23" s="7" t="str">
        <f aca="false">IF(K23&lt;&gt;"","median allowed","median negotiated")</f>
        <v>median allowed</v>
      </c>
    </row>
    <row r="24" customFormat="false" ht="15" hidden="false" customHeight="false" outlineLevel="0" collapsed="false">
      <c r="A24" s="7" t="s">
        <v>39</v>
      </c>
      <c r="B24" s="7" t="s">
        <v>60</v>
      </c>
      <c r="C24" s="7" t="s">
        <v>71</v>
      </c>
      <c r="D24" s="7" t="s">
        <v>72</v>
      </c>
      <c r="E24" s="7" t="s">
        <v>68</v>
      </c>
      <c r="F24" s="7" t="n">
        <f aca="false">COUNTIFS(Rates_data!$B$2:$B$75,$A24,Rates_data!$D$2:$D$75,$B24,Rates_data!$E$2:$E$75,$C24,Rates_data!$G$2:$G$75,$E24,Rates_data!$Y$2:$Y$75,1)</f>
        <v>1</v>
      </c>
      <c r="G24" s="8" t="n">
        <f aca="false">_xlfn.MINIFS(Rates_data!$P$2:$P$75,Rates_data!$B$2:$B$75,$A24,Rates_data!$D$2:$D$75,$B24,Rates_data!$E$2:$E$75,$C24,Rates_data!$G$2:$G$75,$E24,Rates_data!$Y$2:$Y$75,1)</f>
        <v>362.37</v>
      </c>
      <c r="H24" s="8" t="n">
        <f aca="false" t="array" ref="H24:H24">MEDIAN(IF((Rates_data!$B$2:$B$75=$A24)*(Rates_data!$D$2:$D$75=$B24)*(Rates_data!$G$2:$G$75=$E24)*(Rates_data!$E$2:$E$75=$C24)*(Rates_data!$Y$2:$Y$75=1)*(Rates_data!$P$2:$P$75&lt;&gt;""),Rates_data!$P$2:$P$75))</f>
        <v>362.37</v>
      </c>
      <c r="I24" s="8" t="n">
        <f aca="false">_xlfn.MAXIFS(Rates_data!$P$2:$P$75,Rates_data!$B$2:$B$75,$A24,Rates_data!$D$2:$D$75,$B24,Rates_data!$E$2:$E$75,$C24,Rates_data!$G$2:$G$75,$E24,Rates_data!$Y$2:$Y$75,1)</f>
        <v>362.37</v>
      </c>
      <c r="J24" s="9" t="n">
        <f aca="false">IF(F24=0,"",SUMIFS(Rates_data!$R$2:$R$75,Rates_data!$B$2:$B$75,$A24,Rates_data!$D$2:$D$75,$B24,Rates_data!$E$2:$E$75,$C24,Rates_data!$G$2:$G$75,$E24,Rates_data!$Y$2:$Y$75,1)/F24)</f>
        <v>0</v>
      </c>
      <c r="K24" s="8" t="n">
        <f aca="false" t="array" ref="K24:K24">IF(COUNTIFS(Rates_data!$B$2:$B$75,$A24,Rates_data!$D$2:$D$75,$B24,Rates_data!$E$2:$E$75,$C24,Rates_data!$G$2:$G$75,$E24,Rates_data!$Y$2:$Y$75,1,Rates_data!$S$2:$S$75,"&lt;&gt;")=0,"",MEDIAN(IF((Rates_data!$B$2:$B$75=$A24)*(Rates_data!$D$2:$D$75=$B24)*(Rates_data!$G$2:$G$75=$E24)*(Rates_data!$E$2:$E$75=$C24)*(Rates_data!$Y$2:$Y$75=1)*(Rates_data!$S$2:$S$75&lt;&gt;""),Rates_data!$S$2:$S$75)))</f>
        <v>362.81</v>
      </c>
      <c r="L24" s="8" t="n">
        <f aca="false">IF(COUNTIFS(Rates_data!$B$2:$B$75,$A24,Rates_data!$D$2:$D$75,$B24,Rates_data!$E$2:$E$75,$C24,Rates_data!$G$2:$G$75,$E24,Rates_data!$Y$2:$Y$75,1,Rates_data!$T$2:$T$75,"&lt;&gt;")=0,"",_xlfn.MINIFS(Rates_data!$T$2:$T$75,Rates_data!$B$2:$B$75,$A24,Rates_data!$D$2:$D$75,$B24,Rates_data!$E$2:$E$75,$C24,Rates_data!$G$2:$G$75,$E24,Rates_data!$Y$2:$Y$75,1))</f>
        <v>335.92</v>
      </c>
      <c r="M24" s="8" t="n">
        <f aca="false">IF(COUNTIFS(Rates_data!$B$2:$B$75,$A24,Rates_data!$D$2:$D$75,$B24,Rates_data!$E$2:$E$75,$C24,Rates_data!$G$2:$G$75,$E24,Rates_data!$Y$2:$Y$75,1,Rates_data!$U$2:$U$75,"&lt;&gt;")=0,"",_xlfn.MAXIFS(Rates_data!$U$2:$U$75,Rates_data!$B$2:$B$75,$A24,Rates_data!$D$2:$D$75,$B24,Rates_data!$E$2:$E$75,$C24,Rates_data!$G$2:$G$75,$E24,Rates_data!$Y$2:$Y$75,1))</f>
        <v>362.81</v>
      </c>
      <c r="N24" s="7" t="s">
        <v>44</v>
      </c>
      <c r="O24" s="10" t="n">
        <f aca="false">IF(K24&lt;&gt;"",K24,H24)</f>
        <v>362.81</v>
      </c>
      <c r="P24" s="7" t="str">
        <f aca="false">IF(K24&lt;&gt;"","median allowed","median negotiated")</f>
        <v>median allowed</v>
      </c>
    </row>
    <row r="25" customFormat="false" ht="15" hidden="false" customHeight="false" outlineLevel="0" collapsed="false">
      <c r="A25" s="7" t="s">
        <v>39</v>
      </c>
      <c r="B25" s="7" t="s">
        <v>60</v>
      </c>
      <c r="C25" s="7" t="s">
        <v>41</v>
      </c>
      <c r="D25" s="7" t="s">
        <v>42</v>
      </c>
      <c r="E25" s="7" t="s">
        <v>68</v>
      </c>
      <c r="F25" s="7" t="n">
        <f aca="false">COUNTIFS(Rates_data!$B$2:$B$75,$A25,Rates_data!$D$2:$D$75,$B25,Rates_data!$E$2:$E$75,$C25,Rates_data!$G$2:$G$75,$E25,Rates_data!$Y$2:$Y$75,1)</f>
        <v>1</v>
      </c>
      <c r="G25" s="8" t="n">
        <f aca="false">_xlfn.MINIFS(Rates_data!$P$2:$P$75,Rates_data!$B$2:$B$75,$A25,Rates_data!$D$2:$D$75,$B25,Rates_data!$E$2:$E$75,$C25,Rates_data!$G$2:$G$75,$E25,Rates_data!$Y$2:$Y$75,1)</f>
        <v>362.37</v>
      </c>
      <c r="H25" s="8" t="n">
        <f aca="false" t="array" ref="H25:H25">MEDIAN(IF((Rates_data!$B$2:$B$75=$A25)*(Rates_data!$D$2:$D$75=$B25)*(Rates_data!$G$2:$G$75=$E25)*(Rates_data!$E$2:$E$75=$C25)*(Rates_data!$Y$2:$Y$75=1)*(Rates_data!$P$2:$P$75&lt;&gt;""),Rates_data!$P$2:$P$75))</f>
        <v>362.37</v>
      </c>
      <c r="I25" s="8" t="n">
        <f aca="false">_xlfn.MAXIFS(Rates_data!$P$2:$P$75,Rates_data!$B$2:$B$75,$A25,Rates_data!$D$2:$D$75,$B25,Rates_data!$E$2:$E$75,$C25,Rates_data!$G$2:$G$75,$E25,Rates_data!$Y$2:$Y$75,1)</f>
        <v>362.37</v>
      </c>
      <c r="J25" s="9" t="n">
        <f aca="false">IF(F25=0,"",SUMIFS(Rates_data!$R$2:$R$75,Rates_data!$B$2:$B$75,$A25,Rates_data!$D$2:$D$75,$B25,Rates_data!$E$2:$E$75,$C25,Rates_data!$G$2:$G$75,$E25,Rates_data!$Y$2:$Y$75,1)/F25)</f>
        <v>0</v>
      </c>
      <c r="K25" s="8" t="n">
        <f aca="false" t="array" ref="K25:K25">IF(COUNTIFS(Rates_data!$B$2:$B$75,$A25,Rates_data!$D$2:$D$75,$B25,Rates_data!$E$2:$E$75,$C25,Rates_data!$G$2:$G$75,$E25,Rates_data!$Y$2:$Y$75,1,Rates_data!$S$2:$S$75,"&lt;&gt;")=0,"",MEDIAN(IF((Rates_data!$B$2:$B$75=$A25)*(Rates_data!$D$2:$D$75=$B25)*(Rates_data!$G$2:$G$75=$E25)*(Rates_data!$E$2:$E$75=$C25)*(Rates_data!$Y$2:$Y$75=1)*(Rates_data!$S$2:$S$75&lt;&gt;""),Rates_data!$S$2:$S$75)))</f>
        <v>362.92</v>
      </c>
      <c r="L25" s="8" t="n">
        <f aca="false">IF(COUNTIFS(Rates_data!$B$2:$B$75,$A25,Rates_data!$D$2:$D$75,$B25,Rates_data!$E$2:$E$75,$C25,Rates_data!$G$2:$G$75,$E25,Rates_data!$Y$2:$Y$75,1,Rates_data!$T$2:$T$75,"&lt;&gt;")=0,"",_xlfn.MINIFS(Rates_data!$T$2:$T$75,Rates_data!$B$2:$B$75,$A25,Rates_data!$D$2:$D$75,$B25,Rates_data!$E$2:$E$75,$C25,Rates_data!$G$2:$G$75,$E25,Rates_data!$Y$2:$Y$75,1))</f>
        <v>362.41</v>
      </c>
      <c r="M25" s="8" t="n">
        <f aca="false">IF(COUNTIFS(Rates_data!$B$2:$B$75,$A25,Rates_data!$D$2:$D$75,$B25,Rates_data!$E$2:$E$75,$C25,Rates_data!$G$2:$G$75,$E25,Rates_data!$Y$2:$Y$75,1,Rates_data!$U$2:$U$75,"&lt;&gt;")=0,"",_xlfn.MAXIFS(Rates_data!$U$2:$U$75,Rates_data!$B$2:$B$75,$A25,Rates_data!$D$2:$D$75,$B25,Rates_data!$E$2:$E$75,$C25,Rates_data!$G$2:$G$75,$E25,Rates_data!$Y$2:$Y$75,1))</f>
        <v>369.81</v>
      </c>
      <c r="N25" s="7" t="s">
        <v>44</v>
      </c>
      <c r="O25" s="10" t="n">
        <f aca="false">IF(K25&lt;&gt;"",K25,H25)</f>
        <v>362.92</v>
      </c>
      <c r="P25" s="7" t="str">
        <f aca="false">IF(K25&lt;&gt;"","median allowed","median negotiated")</f>
        <v>median allowed</v>
      </c>
    </row>
    <row r="26" customFormat="false" ht="15" hidden="false" customHeight="false" outlineLevel="0" collapsed="false">
      <c r="A26" s="7" t="s">
        <v>39</v>
      </c>
      <c r="B26" s="7" t="s">
        <v>60</v>
      </c>
      <c r="C26" s="7" t="s">
        <v>73</v>
      </c>
      <c r="D26" s="7" t="s">
        <v>74</v>
      </c>
      <c r="E26" s="7" t="s">
        <v>75</v>
      </c>
      <c r="F26" s="7" t="n">
        <f aca="false">COUNTIFS(Rates_data!$B$2:$B$75,$A26,Rates_data!$D$2:$D$75,$B26,Rates_data!$E$2:$E$75,$C26,Rates_data!$G$2:$G$75,$E26,Rates_data!$Y$2:$Y$75,1)</f>
        <v>1</v>
      </c>
      <c r="G26" s="8" t="n">
        <f aca="false">_xlfn.MINIFS(Rates_data!$P$2:$P$75,Rates_data!$B$2:$B$75,$A26,Rates_data!$D$2:$D$75,$B26,Rates_data!$E$2:$E$75,$C26,Rates_data!$G$2:$G$75,$E26,Rates_data!$Y$2:$Y$75,1)</f>
        <v>369.77</v>
      </c>
      <c r="H26" s="8" t="n">
        <f aca="false" t="array" ref="H26:H26">MEDIAN(IF((Rates_data!$B$2:$B$75=$A26)*(Rates_data!$D$2:$D$75=$B26)*(Rates_data!$G$2:$G$75=$E26)*(Rates_data!$E$2:$E$75=$C26)*(Rates_data!$Y$2:$Y$75=1)*(Rates_data!$P$2:$P$75&lt;&gt;""),Rates_data!$P$2:$P$75))</f>
        <v>369.77</v>
      </c>
      <c r="I26" s="8" t="n">
        <f aca="false">_xlfn.MAXIFS(Rates_data!$P$2:$P$75,Rates_data!$B$2:$B$75,$A26,Rates_data!$D$2:$D$75,$B26,Rates_data!$E$2:$E$75,$C26,Rates_data!$G$2:$G$75,$E26,Rates_data!$Y$2:$Y$75,1)</f>
        <v>369.77</v>
      </c>
      <c r="J26" s="9" t="n">
        <f aca="false">IF(F26=0,"",SUMIFS(Rates_data!$R$2:$R$75,Rates_data!$B$2:$B$75,$A26,Rates_data!$D$2:$D$75,$B26,Rates_data!$E$2:$E$75,$C26,Rates_data!$G$2:$G$75,$E26,Rates_data!$Y$2:$Y$75,1)/F26)</f>
        <v>0</v>
      </c>
      <c r="K26" s="8" t="n">
        <f aca="false" t="array" ref="K26:K26">IF(COUNTIFS(Rates_data!$B$2:$B$75,$A26,Rates_data!$D$2:$D$75,$B26,Rates_data!$E$2:$E$75,$C26,Rates_data!$G$2:$G$75,$E26,Rates_data!$Y$2:$Y$75,1,Rates_data!$S$2:$S$75,"&lt;&gt;")=0,"",MEDIAN(IF((Rates_data!$B$2:$B$75=$A26)*(Rates_data!$D$2:$D$75=$B26)*(Rates_data!$G$2:$G$75=$E26)*(Rates_data!$E$2:$E$75=$C26)*(Rates_data!$Y$2:$Y$75=1)*(Rates_data!$S$2:$S$75&lt;&gt;""),Rates_data!$S$2:$S$75)))</f>
        <v>369.81</v>
      </c>
      <c r="L26" s="8" t="n">
        <f aca="false">IF(COUNTIFS(Rates_data!$B$2:$B$75,$A26,Rates_data!$D$2:$D$75,$B26,Rates_data!$E$2:$E$75,$C26,Rates_data!$G$2:$G$75,$E26,Rates_data!$Y$2:$Y$75,1,Rates_data!$T$2:$T$75,"&lt;&gt;")=0,"",_xlfn.MINIFS(Rates_data!$T$2:$T$75,Rates_data!$B$2:$B$75,$A26,Rates_data!$D$2:$D$75,$B26,Rates_data!$E$2:$E$75,$C26,Rates_data!$G$2:$G$75,$E26,Rates_data!$Y$2:$Y$75,1))</f>
        <v>369.81</v>
      </c>
      <c r="M26" s="8" t="n">
        <f aca="false">IF(COUNTIFS(Rates_data!$B$2:$B$75,$A26,Rates_data!$D$2:$D$75,$B26,Rates_data!$E$2:$E$75,$C26,Rates_data!$G$2:$G$75,$E26,Rates_data!$Y$2:$Y$75,1,Rates_data!$U$2:$U$75,"&lt;&gt;")=0,"",_xlfn.MAXIFS(Rates_data!$U$2:$U$75,Rates_data!$B$2:$B$75,$A26,Rates_data!$D$2:$D$75,$B26,Rates_data!$E$2:$E$75,$C26,Rates_data!$G$2:$G$75,$E26,Rates_data!$Y$2:$Y$75,1))</f>
        <v>369.81</v>
      </c>
      <c r="N26" s="7" t="s">
        <v>76</v>
      </c>
      <c r="O26" s="10" t="n">
        <f aca="false">IF(K26&lt;&gt;"",K26,H26)</f>
        <v>369.81</v>
      </c>
      <c r="P26" s="7" t="str">
        <f aca="false">IF(K26&lt;&gt;"","median allowed","median negotiated")</f>
        <v>median allowed</v>
      </c>
    </row>
    <row r="27" customFormat="false" ht="15" hidden="false" customHeight="false" outlineLevel="0" collapsed="false">
      <c r="A27" s="7" t="s">
        <v>39</v>
      </c>
      <c r="B27" s="7" t="s">
        <v>60</v>
      </c>
      <c r="C27" s="7" t="s">
        <v>77</v>
      </c>
      <c r="D27" s="7" t="s">
        <v>78</v>
      </c>
      <c r="E27" s="7" t="s">
        <v>78</v>
      </c>
      <c r="F27" s="7" t="n">
        <f aca="false">COUNTIFS(Rates_data!$B$2:$B$75,$A27,Rates_data!$D$2:$D$75,$B27,Rates_data!$E$2:$E$75,$C27,Rates_data!$G$2:$G$75,$E27,Rates_data!$Y$2:$Y$75,1)</f>
        <v>1</v>
      </c>
      <c r="G27" s="8" t="n">
        <f aca="false">_xlfn.MINIFS(Rates_data!$P$2:$P$75,Rates_data!$B$2:$B$75,$A27,Rates_data!$D$2:$D$75,$B27,Rates_data!$E$2:$E$75,$C27,Rates_data!$G$2:$G$75,$E27,Rates_data!$Y$2:$Y$75,1)</f>
        <v>351.32</v>
      </c>
      <c r="H27" s="8" t="n">
        <f aca="false" t="array" ref="H27:H27">MEDIAN(IF((Rates_data!$B$2:$B$75=$A27)*(Rates_data!$D$2:$D$75=$B27)*(Rates_data!$G$2:$G$75=$E27)*(Rates_data!$E$2:$E$75=$C27)*(Rates_data!$Y$2:$Y$75=1)*(Rates_data!$P$2:$P$75&lt;&gt;""),Rates_data!$P$2:$P$75))</f>
        <v>351.32</v>
      </c>
      <c r="I27" s="8" t="n">
        <f aca="false">_xlfn.MAXIFS(Rates_data!$P$2:$P$75,Rates_data!$B$2:$B$75,$A27,Rates_data!$D$2:$D$75,$B27,Rates_data!$E$2:$E$75,$C27,Rates_data!$G$2:$G$75,$E27,Rates_data!$Y$2:$Y$75,1)</f>
        <v>351.32</v>
      </c>
      <c r="J27" s="9" t="n">
        <f aca="false">IF(F27=0,"",SUMIFS(Rates_data!$R$2:$R$75,Rates_data!$B$2:$B$75,$A27,Rates_data!$D$2:$D$75,$B27,Rates_data!$E$2:$E$75,$C27,Rates_data!$G$2:$G$75,$E27,Rates_data!$Y$2:$Y$75,1)/F27)</f>
        <v>0</v>
      </c>
      <c r="K27" s="8" t="n">
        <f aca="false" t="array" ref="K27:K27">IF(COUNTIFS(Rates_data!$B$2:$B$75,$A27,Rates_data!$D$2:$D$75,$B27,Rates_data!$E$2:$E$75,$C27,Rates_data!$G$2:$G$75,$E27,Rates_data!$Y$2:$Y$75,1,Rates_data!$S$2:$S$75,"&lt;&gt;")=0,"",MEDIAN(IF((Rates_data!$B$2:$B$75=$A27)*(Rates_data!$D$2:$D$75=$B27)*(Rates_data!$G$2:$G$75=$E27)*(Rates_data!$E$2:$E$75=$C27)*(Rates_data!$Y$2:$Y$75=1)*(Rates_data!$S$2:$S$75&lt;&gt;""),Rates_data!$S$2:$S$75)))</f>
        <v>351.32</v>
      </c>
      <c r="L27" s="8" t="n">
        <f aca="false">IF(COUNTIFS(Rates_data!$B$2:$B$75,$A27,Rates_data!$D$2:$D$75,$B27,Rates_data!$E$2:$E$75,$C27,Rates_data!$G$2:$G$75,$E27,Rates_data!$Y$2:$Y$75,1,Rates_data!$T$2:$T$75,"&lt;&gt;")=0,"",_xlfn.MINIFS(Rates_data!$T$2:$T$75,Rates_data!$B$2:$B$75,$A27,Rates_data!$D$2:$D$75,$B27,Rates_data!$E$2:$E$75,$C27,Rates_data!$G$2:$G$75,$E27,Rates_data!$Y$2:$Y$75,1))</f>
        <v>351.32</v>
      </c>
      <c r="M27" s="8" t="n">
        <f aca="false">IF(COUNTIFS(Rates_data!$B$2:$B$75,$A27,Rates_data!$D$2:$D$75,$B27,Rates_data!$E$2:$E$75,$C27,Rates_data!$G$2:$G$75,$E27,Rates_data!$Y$2:$Y$75,1,Rates_data!$U$2:$U$75,"&lt;&gt;")=0,"",_xlfn.MAXIFS(Rates_data!$U$2:$U$75,Rates_data!$B$2:$B$75,$A27,Rates_data!$D$2:$D$75,$B27,Rates_data!$E$2:$E$75,$C27,Rates_data!$G$2:$G$75,$E27,Rates_data!$Y$2:$Y$75,1))</f>
        <v>351.32</v>
      </c>
      <c r="N27" s="7" t="s">
        <v>44</v>
      </c>
      <c r="O27" s="10" t="n">
        <f aca="false">IF(K27&lt;&gt;"",K27,H27)</f>
        <v>351.32</v>
      </c>
      <c r="P27" s="7" t="str">
        <f aca="false">IF(K27&lt;&gt;"","median allowed","median negotiated")</f>
        <v>median allowed</v>
      </c>
    </row>
    <row r="28" customFormat="false" ht="15" hidden="false" customHeight="false" outlineLevel="0" collapsed="false">
      <c r="A28" s="7" t="s">
        <v>79</v>
      </c>
      <c r="B28" s="7" t="s">
        <v>40</v>
      </c>
      <c r="C28" s="7" t="s">
        <v>50</v>
      </c>
      <c r="D28" s="7" t="s">
        <v>49</v>
      </c>
      <c r="E28" s="7" t="s">
        <v>43</v>
      </c>
      <c r="F28" s="7" t="n">
        <f aca="false">COUNTIFS(Rates_data!$B$2:$B$75,$A28,Rates_data!$D$2:$D$75,$B28,Rates_data!$E$2:$E$75,$C28,Rates_data!$G$2:$G$75,$E28,Rates_data!$Y$2:$Y$75,1)</f>
        <v>1</v>
      </c>
      <c r="G28" s="8" t="n">
        <f aca="false">_xlfn.MINIFS(Rates_data!$P$2:$P$75,Rates_data!$B$2:$B$75,$A28,Rates_data!$D$2:$D$75,$B28,Rates_data!$E$2:$E$75,$C28,Rates_data!$G$2:$G$75,$E28,Rates_data!$Y$2:$Y$75,1)</f>
        <v>255.58</v>
      </c>
      <c r="H28" s="8" t="n">
        <f aca="false" t="array" ref="H28:H28">MEDIAN(IF((Rates_data!$B$2:$B$75=$A28)*(Rates_data!$D$2:$D$75=$B28)*(Rates_data!$G$2:$G$75=$E28)*(Rates_data!$E$2:$E$75=$C28)*(Rates_data!$Y$2:$Y$75=1)*(Rates_data!$P$2:$P$75&lt;&gt;""),Rates_data!$P$2:$P$75))</f>
        <v>255.58</v>
      </c>
      <c r="I28" s="8" t="n">
        <f aca="false">_xlfn.MAXIFS(Rates_data!$P$2:$P$75,Rates_data!$B$2:$B$75,$A28,Rates_data!$D$2:$D$75,$B28,Rates_data!$E$2:$E$75,$C28,Rates_data!$G$2:$G$75,$E28,Rates_data!$Y$2:$Y$75,1)</f>
        <v>255.58</v>
      </c>
      <c r="J28" s="9" t="n">
        <f aca="false">IF(F28=0,"",SUMIFS(Rates_data!$R$2:$R$75,Rates_data!$B$2:$B$75,$A28,Rates_data!$D$2:$D$75,$B28,Rates_data!$E$2:$E$75,$C28,Rates_data!$G$2:$G$75,$E28,Rates_data!$Y$2:$Y$75,1)/F28)</f>
        <v>1</v>
      </c>
      <c r="K28" s="8" t="n">
        <f aca="false" t="array" ref="K28:K28">IF(COUNTIFS(Rates_data!$B$2:$B$75,$A28,Rates_data!$D$2:$D$75,$B28,Rates_data!$E$2:$E$75,$C28,Rates_data!$G$2:$G$75,$E28,Rates_data!$Y$2:$Y$75,1,Rates_data!$S$2:$S$75,"&lt;&gt;")=0,"",MEDIAN(IF((Rates_data!$B$2:$B$75=$A28)*(Rates_data!$D$2:$D$75=$B28)*(Rates_data!$G$2:$G$75=$E28)*(Rates_data!$E$2:$E$75=$C28)*(Rates_data!$Y$2:$Y$75=1)*(Rates_data!$S$2:$S$75&lt;&gt;""),Rates_data!$S$2:$S$75)))</f>
        <v>245.53</v>
      </c>
      <c r="L28" s="8" t="n">
        <f aca="false">IF(COUNTIFS(Rates_data!$B$2:$B$75,$A28,Rates_data!$D$2:$D$75,$B28,Rates_data!$E$2:$E$75,$C28,Rates_data!$G$2:$G$75,$E28,Rates_data!$Y$2:$Y$75,1,Rates_data!$T$2:$T$75,"&lt;&gt;")=0,"",_xlfn.MINIFS(Rates_data!$T$2:$T$75,Rates_data!$B$2:$B$75,$A28,Rates_data!$D$2:$D$75,$B28,Rates_data!$E$2:$E$75,$C28,Rates_data!$G$2:$G$75,$E28,Rates_data!$Y$2:$Y$75,1))</f>
        <v>245.53</v>
      </c>
      <c r="M28" s="8" t="n">
        <f aca="false">IF(COUNTIFS(Rates_data!$B$2:$B$75,$A28,Rates_data!$D$2:$D$75,$B28,Rates_data!$E$2:$E$75,$C28,Rates_data!$G$2:$G$75,$E28,Rates_data!$Y$2:$Y$75,1,Rates_data!$U$2:$U$75,"&lt;&gt;")=0,"",_xlfn.MAXIFS(Rates_data!$U$2:$U$75,Rates_data!$B$2:$B$75,$A28,Rates_data!$D$2:$D$75,$B28,Rates_data!$E$2:$E$75,$C28,Rates_data!$G$2:$G$75,$E28,Rates_data!$Y$2:$Y$75,1))</f>
        <v>245.53</v>
      </c>
      <c r="N28" s="7" t="s">
        <v>44</v>
      </c>
      <c r="O28" s="10" t="n">
        <f aca="false">IF(K28&lt;&gt;"",K28,H28)</f>
        <v>245.53</v>
      </c>
      <c r="P28" s="7" t="str">
        <f aca="false">IF(K28&lt;&gt;"","median allowed","median negotiated")</f>
        <v>median allowed</v>
      </c>
    </row>
    <row r="29" customFormat="false" ht="15" hidden="false" customHeight="false" outlineLevel="0" collapsed="false">
      <c r="A29" s="7" t="s">
        <v>79</v>
      </c>
      <c r="B29" s="7" t="s">
        <v>40</v>
      </c>
      <c r="C29" s="7" t="s">
        <v>41</v>
      </c>
      <c r="D29" s="7" t="s">
        <v>42</v>
      </c>
      <c r="E29" s="7" t="s">
        <v>43</v>
      </c>
      <c r="F29" s="7" t="n">
        <f aca="false">COUNTIFS(Rates_data!$B$2:$B$75,$A29,Rates_data!$D$2:$D$75,$B29,Rates_data!$E$2:$E$75,$C29,Rates_data!$G$2:$G$75,$E29,Rates_data!$Y$2:$Y$75,1)</f>
        <v>1</v>
      </c>
      <c r="G29" s="8" t="n">
        <f aca="false">_xlfn.MINIFS(Rates_data!$P$2:$P$75,Rates_data!$B$2:$B$75,$A29,Rates_data!$D$2:$D$75,$B29,Rates_data!$E$2:$E$75,$C29,Rates_data!$G$2:$G$75,$E29,Rates_data!$Y$2:$Y$75,1)</f>
        <v>338.12</v>
      </c>
      <c r="H29" s="8" t="n">
        <f aca="false" t="array" ref="H29:H29">MEDIAN(IF((Rates_data!$B$2:$B$75=$A29)*(Rates_data!$D$2:$D$75=$B29)*(Rates_data!$G$2:$G$75=$E29)*(Rates_data!$E$2:$E$75=$C29)*(Rates_data!$Y$2:$Y$75=1)*(Rates_data!$P$2:$P$75&lt;&gt;""),Rates_data!$P$2:$P$75))</f>
        <v>338.12</v>
      </c>
      <c r="I29" s="8" t="n">
        <f aca="false">_xlfn.MAXIFS(Rates_data!$P$2:$P$75,Rates_data!$B$2:$B$75,$A29,Rates_data!$D$2:$D$75,$B29,Rates_data!$E$2:$E$75,$C29,Rates_data!$G$2:$G$75,$E29,Rates_data!$Y$2:$Y$75,1)</f>
        <v>338.12</v>
      </c>
      <c r="J29" s="9" t="n">
        <f aca="false">IF(F29=0,"",SUMIFS(Rates_data!$R$2:$R$75,Rates_data!$B$2:$B$75,$A29,Rates_data!$D$2:$D$75,$B29,Rates_data!$E$2:$E$75,$C29,Rates_data!$G$2:$G$75,$E29,Rates_data!$Y$2:$Y$75,1)/F29)</f>
        <v>1</v>
      </c>
      <c r="K29" s="8" t="n">
        <f aca="false" t="array" ref="K29:K29">IF(COUNTIFS(Rates_data!$B$2:$B$75,$A29,Rates_data!$D$2:$D$75,$B29,Rates_data!$E$2:$E$75,$C29,Rates_data!$G$2:$G$75,$E29,Rates_data!$Y$2:$Y$75,1,Rates_data!$S$2:$S$75,"&lt;&gt;")=0,"",MEDIAN(IF((Rates_data!$B$2:$B$75=$A29)*(Rates_data!$D$2:$D$75=$B29)*(Rates_data!$G$2:$G$75=$E29)*(Rates_data!$E$2:$E$75=$C29)*(Rates_data!$Y$2:$Y$75=1)*(Rates_data!$S$2:$S$75&lt;&gt;""),Rates_data!$S$2:$S$75)))</f>
        <v>322.13</v>
      </c>
      <c r="L29" s="8" t="n">
        <f aca="false">IF(COUNTIFS(Rates_data!$B$2:$B$75,$A29,Rates_data!$D$2:$D$75,$B29,Rates_data!$E$2:$E$75,$C29,Rates_data!$G$2:$G$75,$E29,Rates_data!$Y$2:$Y$75,1,Rates_data!$T$2:$T$75,"&lt;&gt;")=0,"",_xlfn.MINIFS(Rates_data!$T$2:$T$75,Rates_data!$B$2:$B$75,$A29,Rates_data!$D$2:$D$75,$B29,Rates_data!$E$2:$E$75,$C29,Rates_data!$G$2:$G$75,$E29,Rates_data!$Y$2:$Y$75,1))</f>
        <v>322.13</v>
      </c>
      <c r="M29" s="8" t="n">
        <f aca="false">IF(COUNTIFS(Rates_data!$B$2:$B$75,$A29,Rates_data!$D$2:$D$75,$B29,Rates_data!$E$2:$E$75,$C29,Rates_data!$G$2:$G$75,$E29,Rates_data!$Y$2:$Y$75,1,Rates_data!$U$2:$U$75,"&lt;&gt;")=0,"",_xlfn.MAXIFS(Rates_data!$U$2:$U$75,Rates_data!$B$2:$B$75,$A29,Rates_data!$D$2:$D$75,$B29,Rates_data!$E$2:$E$75,$C29,Rates_data!$G$2:$G$75,$E29,Rates_data!$Y$2:$Y$75,1))</f>
        <v>322.13</v>
      </c>
      <c r="N29" s="7" t="s">
        <v>44</v>
      </c>
      <c r="O29" s="10" t="n">
        <f aca="false">IF(K29&lt;&gt;"",K29,H29)</f>
        <v>322.13</v>
      </c>
      <c r="P29" s="7" t="str">
        <f aca="false">IF(K29&lt;&gt;"","median allowed","median negotiated")</f>
        <v>median allowed</v>
      </c>
    </row>
    <row r="30" customFormat="false" ht="15" hidden="false" customHeight="false" outlineLevel="0" collapsed="false">
      <c r="A30" s="7" t="s">
        <v>79</v>
      </c>
      <c r="B30" s="7" t="s">
        <v>40</v>
      </c>
      <c r="C30" s="7" t="s">
        <v>41</v>
      </c>
      <c r="D30" s="7" t="s">
        <v>42</v>
      </c>
      <c r="E30" s="7" t="s">
        <v>68</v>
      </c>
      <c r="F30" s="7" t="n">
        <f aca="false">COUNTIFS(Rates_data!$B$2:$B$75,$A30,Rates_data!$D$2:$D$75,$B30,Rates_data!$E$2:$E$75,$C30,Rates_data!$G$2:$G$75,$E30,Rates_data!$Y$2:$Y$75,1)</f>
        <v>1</v>
      </c>
      <c r="G30" s="8" t="n">
        <f aca="false">_xlfn.MINIFS(Rates_data!$P$2:$P$75,Rates_data!$B$2:$B$75,$A30,Rates_data!$D$2:$D$75,$B30,Rates_data!$E$2:$E$75,$C30,Rates_data!$G$2:$G$75,$E30,Rates_data!$Y$2:$Y$75,1)</f>
        <v>182.09</v>
      </c>
      <c r="H30" s="8" t="n">
        <f aca="false" t="array" ref="H30:H30">MEDIAN(IF((Rates_data!$B$2:$B$75=$A30)*(Rates_data!$D$2:$D$75=$B30)*(Rates_data!$G$2:$G$75=$E30)*(Rates_data!$E$2:$E$75=$C30)*(Rates_data!$Y$2:$Y$75=1)*(Rates_data!$P$2:$P$75&lt;&gt;""),Rates_data!$P$2:$P$75))</f>
        <v>182.09</v>
      </c>
      <c r="I30" s="8" t="n">
        <f aca="false">_xlfn.MAXIFS(Rates_data!$P$2:$P$75,Rates_data!$B$2:$B$75,$A30,Rates_data!$D$2:$D$75,$B30,Rates_data!$E$2:$E$75,$C30,Rates_data!$G$2:$G$75,$E30,Rates_data!$Y$2:$Y$75,1)</f>
        <v>182.09</v>
      </c>
      <c r="J30" s="9" t="n">
        <f aca="false">IF(F30=0,"",SUMIFS(Rates_data!$R$2:$R$75,Rates_data!$B$2:$B$75,$A30,Rates_data!$D$2:$D$75,$B30,Rates_data!$E$2:$E$75,$C30,Rates_data!$G$2:$G$75,$E30,Rates_data!$Y$2:$Y$75,1)/F30)</f>
        <v>0</v>
      </c>
      <c r="K30" s="8" t="n">
        <f aca="false" t="array" ref="K30:K30">IF(COUNTIFS(Rates_data!$B$2:$B$75,$A30,Rates_data!$D$2:$D$75,$B30,Rates_data!$E$2:$E$75,$C30,Rates_data!$G$2:$G$75,$E30,Rates_data!$Y$2:$Y$75,1,Rates_data!$S$2:$S$75,"&lt;&gt;")=0,"",MEDIAN(IF((Rates_data!$B$2:$B$75=$A30)*(Rates_data!$D$2:$D$75=$B30)*(Rates_data!$G$2:$G$75=$E30)*(Rates_data!$E$2:$E$75=$C30)*(Rates_data!$Y$2:$Y$75=1)*(Rates_data!$S$2:$S$75&lt;&gt;""),Rates_data!$S$2:$S$75)))</f>
        <v>182.84</v>
      </c>
      <c r="L30" s="8" t="n">
        <f aca="false">IF(COUNTIFS(Rates_data!$B$2:$B$75,$A30,Rates_data!$D$2:$D$75,$B30,Rates_data!$E$2:$E$75,$C30,Rates_data!$G$2:$G$75,$E30,Rates_data!$Y$2:$Y$75,1,Rates_data!$T$2:$T$75,"&lt;&gt;")=0,"",_xlfn.MINIFS(Rates_data!$T$2:$T$75,Rates_data!$B$2:$B$75,$A30,Rates_data!$D$2:$D$75,$B30,Rates_data!$E$2:$E$75,$C30,Rates_data!$G$2:$G$75,$E30,Rates_data!$Y$2:$Y$75,1))</f>
        <v>182.1</v>
      </c>
      <c r="M30" s="8" t="n">
        <f aca="false">IF(COUNTIFS(Rates_data!$B$2:$B$75,$A30,Rates_data!$D$2:$D$75,$B30,Rates_data!$E$2:$E$75,$C30,Rates_data!$G$2:$G$75,$E30,Rates_data!$Y$2:$Y$75,1,Rates_data!$U$2:$U$75,"&lt;&gt;")=0,"",_xlfn.MAXIFS(Rates_data!$U$2:$U$75,Rates_data!$B$2:$B$75,$A30,Rates_data!$D$2:$D$75,$B30,Rates_data!$E$2:$E$75,$C30,Rates_data!$G$2:$G$75,$E30,Rates_data!$Y$2:$Y$75,1))</f>
        <v>183.1</v>
      </c>
      <c r="N30" s="7" t="s">
        <v>44</v>
      </c>
      <c r="O30" s="10" t="n">
        <f aca="false">IF(K30&lt;&gt;"",K30,H30)</f>
        <v>182.84</v>
      </c>
      <c r="P30" s="7" t="str">
        <f aca="false">IF(K30&lt;&gt;"","median allowed","median negotiated")</f>
        <v>median allowed</v>
      </c>
    </row>
    <row r="31" customFormat="false" ht="15" hidden="false" customHeight="false" outlineLevel="0" collapsed="false">
      <c r="A31" s="7" t="s">
        <v>79</v>
      </c>
      <c r="B31" s="7" t="s">
        <v>40</v>
      </c>
      <c r="C31" s="7" t="s">
        <v>73</v>
      </c>
      <c r="D31" s="7" t="s">
        <v>74</v>
      </c>
      <c r="E31" s="7" t="s">
        <v>75</v>
      </c>
      <c r="F31" s="7" t="n">
        <f aca="false">COUNTIFS(Rates_data!$B$2:$B$75,$A31,Rates_data!$D$2:$D$75,$B31,Rates_data!$E$2:$E$75,$C31,Rates_data!$G$2:$G$75,$E31,Rates_data!$Y$2:$Y$75,1)</f>
        <v>1</v>
      </c>
      <c r="G31" s="8" t="n">
        <f aca="false">_xlfn.MINIFS(Rates_data!$P$2:$P$75,Rates_data!$B$2:$B$75,$A31,Rates_data!$D$2:$D$75,$B31,Rates_data!$E$2:$E$75,$C31,Rates_data!$G$2:$G$75,$E31,Rates_data!$Y$2:$Y$75,1)</f>
        <v>185.81</v>
      </c>
      <c r="H31" s="8" t="n">
        <f aca="false" t="array" ref="H31:H31">MEDIAN(IF((Rates_data!$B$2:$B$75=$A31)*(Rates_data!$D$2:$D$75=$B31)*(Rates_data!$G$2:$G$75=$E31)*(Rates_data!$E$2:$E$75=$C31)*(Rates_data!$Y$2:$Y$75=1)*(Rates_data!$P$2:$P$75&lt;&gt;""),Rates_data!$P$2:$P$75))</f>
        <v>185.81</v>
      </c>
      <c r="I31" s="8" t="n">
        <f aca="false">_xlfn.MAXIFS(Rates_data!$P$2:$P$75,Rates_data!$B$2:$B$75,$A31,Rates_data!$D$2:$D$75,$B31,Rates_data!$E$2:$E$75,$C31,Rates_data!$G$2:$G$75,$E31,Rates_data!$Y$2:$Y$75,1)</f>
        <v>185.81</v>
      </c>
      <c r="J31" s="9" t="n">
        <f aca="false">IF(F31=0,"",SUMIFS(Rates_data!$R$2:$R$75,Rates_data!$B$2:$B$75,$A31,Rates_data!$D$2:$D$75,$B31,Rates_data!$E$2:$E$75,$C31,Rates_data!$G$2:$G$75,$E31,Rates_data!$Y$2:$Y$75,1)/F31)</f>
        <v>0</v>
      </c>
      <c r="K31" s="8" t="n">
        <f aca="false" t="array" ref="K31:K31">IF(COUNTIFS(Rates_data!$B$2:$B$75,$A31,Rates_data!$D$2:$D$75,$B31,Rates_data!$E$2:$E$75,$C31,Rates_data!$G$2:$G$75,$E31,Rates_data!$Y$2:$Y$75,1,Rates_data!$S$2:$S$75,"&lt;&gt;")=0,"",MEDIAN(IF((Rates_data!$B$2:$B$75=$A31)*(Rates_data!$D$2:$D$75=$B31)*(Rates_data!$G$2:$G$75=$E31)*(Rates_data!$E$2:$E$75=$C31)*(Rates_data!$Y$2:$Y$75=1)*(Rates_data!$S$2:$S$75&lt;&gt;""),Rates_data!$S$2:$S$75)))</f>
        <v>185.81</v>
      </c>
      <c r="L31" s="8" t="n">
        <f aca="false">IF(COUNTIFS(Rates_data!$B$2:$B$75,$A31,Rates_data!$D$2:$D$75,$B31,Rates_data!$E$2:$E$75,$C31,Rates_data!$G$2:$G$75,$E31,Rates_data!$Y$2:$Y$75,1,Rates_data!$T$2:$T$75,"&lt;&gt;")=0,"",_xlfn.MINIFS(Rates_data!$T$2:$T$75,Rates_data!$B$2:$B$75,$A31,Rates_data!$D$2:$D$75,$B31,Rates_data!$E$2:$E$75,$C31,Rates_data!$G$2:$G$75,$E31,Rates_data!$Y$2:$Y$75,1))</f>
        <v>185.81</v>
      </c>
      <c r="M31" s="8" t="n">
        <f aca="false">IF(COUNTIFS(Rates_data!$B$2:$B$75,$A31,Rates_data!$D$2:$D$75,$B31,Rates_data!$E$2:$E$75,$C31,Rates_data!$G$2:$G$75,$E31,Rates_data!$Y$2:$Y$75,1,Rates_data!$U$2:$U$75,"&lt;&gt;")=0,"",_xlfn.MAXIFS(Rates_data!$U$2:$U$75,Rates_data!$B$2:$B$75,$A31,Rates_data!$D$2:$D$75,$B31,Rates_data!$E$2:$E$75,$C31,Rates_data!$G$2:$G$75,$E31,Rates_data!$Y$2:$Y$75,1))</f>
        <v>185.81</v>
      </c>
      <c r="N31" s="7" t="s">
        <v>44</v>
      </c>
      <c r="O31" s="10" t="n">
        <f aca="false">IF(K31&lt;&gt;"",K31,H31)</f>
        <v>185.81</v>
      </c>
      <c r="P31" s="7" t="str">
        <f aca="false">IF(K31&lt;&gt;"","median allowed","median negotiated")</f>
        <v>median allowed</v>
      </c>
    </row>
    <row r="32" customFormat="false" ht="15" hidden="false" customHeight="false" outlineLevel="0" collapsed="false">
      <c r="A32" s="7" t="s">
        <v>79</v>
      </c>
      <c r="B32" s="7" t="s">
        <v>45</v>
      </c>
      <c r="C32" s="7" t="s">
        <v>50</v>
      </c>
      <c r="D32" s="7" t="s">
        <v>49</v>
      </c>
      <c r="E32" s="7" t="s">
        <v>43</v>
      </c>
      <c r="F32" s="7" t="n">
        <f aca="false">COUNTIFS(Rates_data!$B$2:$B$75,$A32,Rates_data!$D$2:$D$75,$B32,Rates_data!$E$2:$E$75,$C32,Rates_data!$G$2:$G$75,$E32,Rates_data!$Y$2:$Y$75,1)</f>
        <v>1</v>
      </c>
      <c r="G32" s="8" t="n">
        <f aca="false">_xlfn.MINIFS(Rates_data!$P$2:$P$75,Rates_data!$B$2:$B$75,$A32,Rates_data!$D$2:$D$75,$B32,Rates_data!$E$2:$E$75,$C32,Rates_data!$G$2:$G$75,$E32,Rates_data!$Y$2:$Y$75,1)</f>
        <v>412.73</v>
      </c>
      <c r="H32" s="8" t="n">
        <f aca="false" t="array" ref="H32:H32">MEDIAN(IF((Rates_data!$B$2:$B$75=$A32)*(Rates_data!$D$2:$D$75=$B32)*(Rates_data!$G$2:$G$75=$E32)*(Rates_data!$E$2:$E$75=$C32)*(Rates_data!$Y$2:$Y$75=1)*(Rates_data!$P$2:$P$75&lt;&gt;""),Rates_data!$P$2:$P$75))</f>
        <v>412.73</v>
      </c>
      <c r="I32" s="8" t="n">
        <f aca="false">_xlfn.MAXIFS(Rates_data!$P$2:$P$75,Rates_data!$B$2:$B$75,$A32,Rates_data!$D$2:$D$75,$B32,Rates_data!$E$2:$E$75,$C32,Rates_data!$G$2:$G$75,$E32,Rates_data!$Y$2:$Y$75,1)</f>
        <v>412.73</v>
      </c>
      <c r="J32" s="9" t="n">
        <f aca="false">IF(F32=0,"",SUMIFS(Rates_data!$R$2:$R$75,Rates_data!$B$2:$B$75,$A32,Rates_data!$D$2:$D$75,$B32,Rates_data!$E$2:$E$75,$C32,Rates_data!$G$2:$G$75,$E32,Rates_data!$Y$2:$Y$75,1)/F32)</f>
        <v>1</v>
      </c>
      <c r="K32" s="8" t="n">
        <f aca="false" t="array" ref="K32:K32">IF(COUNTIFS(Rates_data!$B$2:$B$75,$A32,Rates_data!$D$2:$D$75,$B32,Rates_data!$E$2:$E$75,$C32,Rates_data!$G$2:$G$75,$E32,Rates_data!$Y$2:$Y$75,1,Rates_data!$S$2:$S$75,"&lt;&gt;")=0,"",MEDIAN(IF((Rates_data!$B$2:$B$75=$A32)*(Rates_data!$D$2:$D$75=$B32)*(Rates_data!$G$2:$G$75=$E32)*(Rates_data!$E$2:$E$75=$C32)*(Rates_data!$Y$2:$Y$75=1)*(Rates_data!$S$2:$S$75&lt;&gt;""),Rates_data!$S$2:$S$75)))</f>
        <v>396.72</v>
      </c>
      <c r="L32" s="8" t="n">
        <f aca="false">IF(COUNTIFS(Rates_data!$B$2:$B$75,$A32,Rates_data!$D$2:$D$75,$B32,Rates_data!$E$2:$E$75,$C32,Rates_data!$G$2:$G$75,$E32,Rates_data!$Y$2:$Y$75,1,Rates_data!$T$2:$T$75,"&lt;&gt;")=0,"",_xlfn.MINIFS(Rates_data!$T$2:$T$75,Rates_data!$B$2:$B$75,$A32,Rates_data!$D$2:$D$75,$B32,Rates_data!$E$2:$E$75,$C32,Rates_data!$G$2:$G$75,$E32,Rates_data!$Y$2:$Y$75,1))</f>
        <v>396.72</v>
      </c>
      <c r="M32" s="8" t="n">
        <f aca="false">IF(COUNTIFS(Rates_data!$B$2:$B$75,$A32,Rates_data!$D$2:$D$75,$B32,Rates_data!$E$2:$E$75,$C32,Rates_data!$G$2:$G$75,$E32,Rates_data!$Y$2:$Y$75,1,Rates_data!$U$2:$U$75,"&lt;&gt;")=0,"",_xlfn.MAXIFS(Rates_data!$U$2:$U$75,Rates_data!$B$2:$B$75,$A32,Rates_data!$D$2:$D$75,$B32,Rates_data!$E$2:$E$75,$C32,Rates_data!$G$2:$G$75,$E32,Rates_data!$Y$2:$Y$75,1))</f>
        <v>396.72</v>
      </c>
      <c r="N32" s="7" t="s">
        <v>80</v>
      </c>
      <c r="O32" s="10" t="n">
        <f aca="false">IF(K32&lt;&gt;"",K32,H32)</f>
        <v>396.72</v>
      </c>
      <c r="P32" s="7" t="str">
        <f aca="false">IF(K32&lt;&gt;"","median allowed","median negotiated")</f>
        <v>median allowed</v>
      </c>
    </row>
    <row r="33" customFormat="false" ht="15" hidden="false" customHeight="false" outlineLevel="0" collapsed="false">
      <c r="A33" s="7" t="s">
        <v>79</v>
      </c>
      <c r="B33" s="7" t="s">
        <v>45</v>
      </c>
      <c r="C33" s="7" t="s">
        <v>81</v>
      </c>
      <c r="D33" s="7" t="s">
        <v>82</v>
      </c>
      <c r="E33" s="7" t="s">
        <v>43</v>
      </c>
      <c r="F33" s="7" t="n">
        <f aca="false">COUNTIFS(Rates_data!$B$2:$B$75,$A33,Rates_data!$D$2:$D$75,$B33,Rates_data!$E$2:$E$75,$C33,Rates_data!$G$2:$G$75,$E33,Rates_data!$Y$2:$Y$75,1)</f>
        <v>1</v>
      </c>
      <c r="G33" s="8" t="n">
        <f aca="false">_xlfn.MINIFS(Rates_data!$P$2:$P$75,Rates_data!$B$2:$B$75,$A33,Rates_data!$D$2:$D$75,$B33,Rates_data!$E$2:$E$75,$C33,Rates_data!$G$2:$G$75,$E33,Rates_data!$Y$2:$Y$75,1)</f>
        <v>508.08</v>
      </c>
      <c r="H33" s="8" t="n">
        <f aca="false" t="array" ref="H33:H33">MEDIAN(IF((Rates_data!$B$2:$B$75=$A33)*(Rates_data!$D$2:$D$75=$B33)*(Rates_data!$G$2:$G$75=$E33)*(Rates_data!$E$2:$E$75=$C33)*(Rates_data!$Y$2:$Y$75=1)*(Rates_data!$P$2:$P$75&lt;&gt;""),Rates_data!$P$2:$P$75))</f>
        <v>508.08</v>
      </c>
      <c r="I33" s="8" t="n">
        <f aca="false">_xlfn.MAXIFS(Rates_data!$P$2:$P$75,Rates_data!$B$2:$B$75,$A33,Rates_data!$D$2:$D$75,$B33,Rates_data!$E$2:$E$75,$C33,Rates_data!$G$2:$G$75,$E33,Rates_data!$Y$2:$Y$75,1)</f>
        <v>508.08</v>
      </c>
      <c r="J33" s="9" t="n">
        <f aca="false">IF(F33=0,"",SUMIFS(Rates_data!$R$2:$R$75,Rates_data!$B$2:$B$75,$A33,Rates_data!$D$2:$D$75,$B33,Rates_data!$E$2:$E$75,$C33,Rates_data!$G$2:$G$75,$E33,Rates_data!$Y$2:$Y$75,1)/F33)</f>
        <v>1</v>
      </c>
      <c r="K33" s="8" t="n">
        <f aca="false" t="array" ref="K33:K33">IF(COUNTIFS(Rates_data!$B$2:$B$75,$A33,Rates_data!$D$2:$D$75,$B33,Rates_data!$E$2:$E$75,$C33,Rates_data!$G$2:$G$75,$E33,Rates_data!$Y$2:$Y$75,1,Rates_data!$S$2:$S$75,"&lt;&gt;")=0,"",MEDIAN(IF((Rates_data!$B$2:$B$75=$A33)*(Rates_data!$D$2:$D$75=$B33)*(Rates_data!$G$2:$G$75=$E33)*(Rates_data!$E$2:$E$75=$C33)*(Rates_data!$Y$2:$Y$75=1)*(Rates_data!$S$2:$S$75&lt;&gt;""),Rates_data!$S$2:$S$75)))</f>
        <v>494.21</v>
      </c>
      <c r="L33" s="8" t="n">
        <f aca="false">IF(COUNTIFS(Rates_data!$B$2:$B$75,$A33,Rates_data!$D$2:$D$75,$B33,Rates_data!$E$2:$E$75,$C33,Rates_data!$G$2:$G$75,$E33,Rates_data!$Y$2:$Y$75,1,Rates_data!$T$2:$T$75,"&lt;&gt;")=0,"",_xlfn.MINIFS(Rates_data!$T$2:$T$75,Rates_data!$B$2:$B$75,$A33,Rates_data!$D$2:$D$75,$B33,Rates_data!$E$2:$E$75,$C33,Rates_data!$G$2:$G$75,$E33,Rates_data!$Y$2:$Y$75,1))</f>
        <v>479.61</v>
      </c>
      <c r="M33" s="8" t="n">
        <f aca="false">IF(COUNTIFS(Rates_data!$B$2:$B$75,$A33,Rates_data!$D$2:$D$75,$B33,Rates_data!$E$2:$E$75,$C33,Rates_data!$G$2:$G$75,$E33,Rates_data!$Y$2:$Y$75,1,Rates_data!$U$2:$U$75,"&lt;&gt;")=0,"",_xlfn.MAXIFS(Rates_data!$U$2:$U$75,Rates_data!$B$2:$B$75,$A33,Rates_data!$D$2:$D$75,$B33,Rates_data!$E$2:$E$75,$C33,Rates_data!$G$2:$G$75,$E33,Rates_data!$Y$2:$Y$75,1))</f>
        <v>494.21</v>
      </c>
      <c r="N33" s="7" t="s">
        <v>44</v>
      </c>
      <c r="O33" s="10" t="n">
        <f aca="false">IF(K33&lt;&gt;"",K33,H33)</f>
        <v>494.21</v>
      </c>
      <c r="P33" s="7" t="str">
        <f aca="false">IF(K33&lt;&gt;"","median allowed","median negotiated")</f>
        <v>median allowed</v>
      </c>
    </row>
    <row r="34" customFormat="false" ht="15" hidden="false" customHeight="false" outlineLevel="0" collapsed="false">
      <c r="A34" s="7" t="s">
        <v>79</v>
      </c>
      <c r="B34" s="7" t="s">
        <v>45</v>
      </c>
      <c r="C34" s="7" t="s">
        <v>41</v>
      </c>
      <c r="D34" s="7" t="s">
        <v>42</v>
      </c>
      <c r="E34" s="7" t="s">
        <v>43</v>
      </c>
      <c r="F34" s="7" t="n">
        <f aca="false">COUNTIFS(Rates_data!$B$2:$B$75,$A34,Rates_data!$D$2:$D$75,$B34,Rates_data!$E$2:$E$75,$C34,Rates_data!$G$2:$G$75,$E34,Rates_data!$Y$2:$Y$75,1)</f>
        <v>2</v>
      </c>
      <c r="G34" s="8" t="n">
        <f aca="false">_xlfn.MINIFS(Rates_data!$P$2:$P$75,Rates_data!$B$2:$B$75,$A34,Rates_data!$D$2:$D$75,$B34,Rates_data!$E$2:$E$75,$C34,Rates_data!$G$2:$G$75,$E34,Rates_data!$Y$2:$Y$75,1)</f>
        <v>309.37</v>
      </c>
      <c r="H34" s="8" t="n">
        <f aca="false" t="array" ref="H34:H34">MEDIAN(IF((Rates_data!$B$2:$B$75=$A34)*(Rates_data!$D$2:$D$75=$B34)*(Rates_data!$G$2:$G$75=$E34)*(Rates_data!$E$2:$E$75=$C34)*(Rates_data!$Y$2:$Y$75=1)*(Rates_data!$P$2:$P$75&lt;&gt;""),Rates_data!$P$2:$P$75))</f>
        <v>427.69</v>
      </c>
      <c r="I34" s="8" t="n">
        <f aca="false">_xlfn.MAXIFS(Rates_data!$P$2:$P$75,Rates_data!$B$2:$B$75,$A34,Rates_data!$D$2:$D$75,$B34,Rates_data!$E$2:$E$75,$C34,Rates_data!$G$2:$G$75,$E34,Rates_data!$Y$2:$Y$75,1)</f>
        <v>546.01</v>
      </c>
      <c r="J34" s="9" t="n">
        <f aca="false">IF(F34=0,"",SUMIFS(Rates_data!$R$2:$R$75,Rates_data!$B$2:$B$75,$A34,Rates_data!$D$2:$D$75,$B34,Rates_data!$E$2:$E$75,$C34,Rates_data!$G$2:$G$75,$E34,Rates_data!$Y$2:$Y$75,1)/F34)</f>
        <v>1</v>
      </c>
      <c r="K34" s="8" t="n">
        <f aca="false" t="array" ref="K34:K34">IF(COUNTIFS(Rates_data!$B$2:$B$75,$A34,Rates_data!$D$2:$D$75,$B34,Rates_data!$E$2:$E$75,$C34,Rates_data!$G$2:$G$75,$E34,Rates_data!$Y$2:$Y$75,1,Rates_data!$S$2:$S$75,"&lt;&gt;")=0,"",MEDIAN(IF((Rates_data!$B$2:$B$75=$A34)*(Rates_data!$D$2:$D$75=$B34)*(Rates_data!$G$2:$G$75=$E34)*(Rates_data!$E$2:$E$75=$C34)*(Rates_data!$Y$2:$Y$75=1)*(Rates_data!$S$2:$S$75&lt;&gt;""),Rates_data!$S$2:$S$75)))</f>
        <v>414.46</v>
      </c>
      <c r="L34" s="8" t="n">
        <f aca="false">IF(COUNTIFS(Rates_data!$B$2:$B$75,$A34,Rates_data!$D$2:$D$75,$B34,Rates_data!$E$2:$E$75,$C34,Rates_data!$G$2:$G$75,$E34,Rates_data!$Y$2:$Y$75,1,Rates_data!$T$2:$T$75,"&lt;&gt;")=0,"",_xlfn.MINIFS(Rates_data!$T$2:$T$75,Rates_data!$B$2:$B$75,$A34,Rates_data!$D$2:$D$75,$B34,Rates_data!$E$2:$E$75,$C34,Rates_data!$G$2:$G$75,$E34,Rates_data!$Y$2:$Y$75,1))</f>
        <v>308.44</v>
      </c>
      <c r="M34" s="8" t="n">
        <f aca="false">IF(COUNTIFS(Rates_data!$B$2:$B$75,$A34,Rates_data!$D$2:$D$75,$B34,Rates_data!$E$2:$E$75,$C34,Rates_data!$G$2:$G$75,$E34,Rates_data!$Y$2:$Y$75,1,Rates_data!$U$2:$U$75,"&lt;&gt;")=0,"",_xlfn.MAXIFS(Rates_data!$U$2:$U$75,Rates_data!$B$2:$B$75,$A34,Rates_data!$D$2:$D$75,$B34,Rates_data!$E$2:$E$75,$C34,Rates_data!$G$2:$G$75,$E34,Rates_data!$Y$2:$Y$75,1))</f>
        <v>520.48</v>
      </c>
      <c r="N34" s="7" t="s">
        <v>83</v>
      </c>
      <c r="O34" s="10" t="n">
        <f aca="false">IF(K34&lt;&gt;"",K34,H34)</f>
        <v>414.46</v>
      </c>
      <c r="P34" s="7" t="str">
        <f aca="false">IF(K34&lt;&gt;"","median allowed","median negotiated")</f>
        <v>median allowed</v>
      </c>
    </row>
    <row r="35" customFormat="false" ht="15" hidden="false" customHeight="false" outlineLevel="0" collapsed="false">
      <c r="A35" s="7" t="s">
        <v>79</v>
      </c>
      <c r="B35" s="7" t="s">
        <v>45</v>
      </c>
      <c r="C35" s="7" t="s">
        <v>58</v>
      </c>
      <c r="D35" s="7" t="s">
        <v>59</v>
      </c>
      <c r="E35" s="7" t="s">
        <v>43</v>
      </c>
      <c r="F35" s="7" t="n">
        <f aca="false">COUNTIFS(Rates_data!$B$2:$B$75,$A35,Rates_data!$D$2:$D$75,$B35,Rates_data!$E$2:$E$75,$C35,Rates_data!$G$2:$G$75,$E35,Rates_data!$Y$2:$Y$75,1)</f>
        <v>1</v>
      </c>
      <c r="G35" s="8" t="n">
        <f aca="false">_xlfn.MINIFS(Rates_data!$P$2:$P$75,Rates_data!$B$2:$B$75,$A35,Rates_data!$D$2:$D$75,$B35,Rates_data!$E$2:$E$75,$C35,Rates_data!$G$2:$G$75,$E35,Rates_data!$Y$2:$Y$75,1)</f>
        <v>542.25</v>
      </c>
      <c r="H35" s="8" t="n">
        <f aca="false" t="array" ref="H35:H35">MEDIAN(IF((Rates_data!$B$2:$B$75=$A35)*(Rates_data!$D$2:$D$75=$B35)*(Rates_data!$G$2:$G$75=$E35)*(Rates_data!$E$2:$E$75=$C35)*(Rates_data!$Y$2:$Y$75=1)*(Rates_data!$P$2:$P$75&lt;&gt;""),Rates_data!$P$2:$P$75))</f>
        <v>542.25</v>
      </c>
      <c r="I35" s="8" t="n">
        <f aca="false">_xlfn.MAXIFS(Rates_data!$P$2:$P$75,Rates_data!$B$2:$B$75,$A35,Rates_data!$D$2:$D$75,$B35,Rates_data!$E$2:$E$75,$C35,Rates_data!$G$2:$G$75,$E35,Rates_data!$Y$2:$Y$75,1)</f>
        <v>542.25</v>
      </c>
      <c r="J35" s="9" t="n">
        <f aca="false">IF(F35=0,"",SUMIFS(Rates_data!$R$2:$R$75,Rates_data!$B$2:$B$75,$A35,Rates_data!$D$2:$D$75,$B35,Rates_data!$E$2:$E$75,$C35,Rates_data!$G$2:$G$75,$E35,Rates_data!$Y$2:$Y$75,1)/F35)</f>
        <v>1</v>
      </c>
      <c r="K35" s="8" t="n">
        <f aca="false" t="array" ref="K35:K35">IF(COUNTIFS(Rates_data!$B$2:$B$75,$A35,Rates_data!$D$2:$D$75,$B35,Rates_data!$E$2:$E$75,$C35,Rates_data!$G$2:$G$75,$E35,Rates_data!$Y$2:$Y$75,1,Rates_data!$S$2:$S$75,"&lt;&gt;")=0,"",MEDIAN(IF((Rates_data!$B$2:$B$75=$A35)*(Rates_data!$D$2:$D$75=$B35)*(Rates_data!$G$2:$G$75=$E35)*(Rates_data!$E$2:$E$75=$C35)*(Rates_data!$Y$2:$Y$75=1)*(Rates_data!$S$2:$S$75&lt;&gt;""),Rates_data!$S$2:$S$75)))</f>
        <v>677</v>
      </c>
      <c r="L35" s="8" t="n">
        <f aca="false">IF(COUNTIFS(Rates_data!$B$2:$B$75,$A35,Rates_data!$D$2:$D$75,$B35,Rates_data!$E$2:$E$75,$C35,Rates_data!$G$2:$G$75,$E35,Rates_data!$Y$2:$Y$75,1,Rates_data!$T$2:$T$75,"&lt;&gt;")=0,"",_xlfn.MINIFS(Rates_data!$T$2:$T$75,Rates_data!$B$2:$B$75,$A35,Rates_data!$D$2:$D$75,$B35,Rates_data!$E$2:$E$75,$C35,Rates_data!$G$2:$G$75,$E35,Rates_data!$Y$2:$Y$75,1))</f>
        <v>533.21</v>
      </c>
      <c r="M35" s="8" t="n">
        <f aca="false">IF(COUNTIFS(Rates_data!$B$2:$B$75,$A35,Rates_data!$D$2:$D$75,$B35,Rates_data!$E$2:$E$75,$C35,Rates_data!$G$2:$G$75,$E35,Rates_data!$Y$2:$Y$75,1,Rates_data!$U$2:$U$75,"&lt;&gt;")=0,"",_xlfn.MAXIFS(Rates_data!$U$2:$U$75,Rates_data!$B$2:$B$75,$A35,Rates_data!$D$2:$D$75,$B35,Rates_data!$E$2:$E$75,$C35,Rates_data!$G$2:$G$75,$E35,Rates_data!$Y$2:$Y$75,1))</f>
        <v>1210.21</v>
      </c>
      <c r="N35" s="7" t="s">
        <v>44</v>
      </c>
      <c r="O35" s="10" t="n">
        <f aca="false">IF(K35&lt;&gt;"",K35,H35)</f>
        <v>677</v>
      </c>
      <c r="P35" s="7" t="str">
        <f aca="false">IF(K35&lt;&gt;"","median allowed","median negotiated")</f>
        <v>median allowed</v>
      </c>
    </row>
    <row r="36" customFormat="false" ht="15" hidden="false" customHeight="false" outlineLevel="0" collapsed="false">
      <c r="A36" s="7" t="s">
        <v>79</v>
      </c>
      <c r="B36" s="7" t="s">
        <v>45</v>
      </c>
      <c r="C36" s="7" t="s">
        <v>66</v>
      </c>
      <c r="D36" s="7" t="s">
        <v>67</v>
      </c>
      <c r="E36" s="7" t="s">
        <v>68</v>
      </c>
      <c r="F36" s="7" t="n">
        <f aca="false">COUNTIFS(Rates_data!$B$2:$B$75,$A36,Rates_data!$D$2:$D$75,$B36,Rates_data!$E$2:$E$75,$C36,Rates_data!$G$2:$G$75,$E36,Rates_data!$Y$2:$Y$75,1)</f>
        <v>1</v>
      </c>
      <c r="G36" s="8" t="n">
        <f aca="false">_xlfn.MINIFS(Rates_data!$P$2:$P$75,Rates_data!$B$2:$B$75,$A36,Rates_data!$D$2:$D$75,$B36,Rates_data!$E$2:$E$75,$C36,Rates_data!$G$2:$G$75,$E36,Rates_data!$Y$2:$Y$75,1)</f>
        <v>153.08</v>
      </c>
      <c r="H36" s="8" t="n">
        <f aca="false" t="array" ref="H36:H36">MEDIAN(IF((Rates_data!$B$2:$B$75=$A36)*(Rates_data!$D$2:$D$75=$B36)*(Rates_data!$G$2:$G$75=$E36)*(Rates_data!$E$2:$E$75=$C36)*(Rates_data!$Y$2:$Y$75=1)*(Rates_data!$P$2:$P$75&lt;&gt;""),Rates_data!$P$2:$P$75))</f>
        <v>153.08</v>
      </c>
      <c r="I36" s="8" t="n">
        <f aca="false">_xlfn.MAXIFS(Rates_data!$P$2:$P$75,Rates_data!$B$2:$B$75,$A36,Rates_data!$D$2:$D$75,$B36,Rates_data!$E$2:$E$75,$C36,Rates_data!$G$2:$G$75,$E36,Rates_data!$Y$2:$Y$75,1)</f>
        <v>153.08</v>
      </c>
      <c r="J36" s="9" t="n">
        <f aca="false">IF(F36=0,"",SUMIFS(Rates_data!$R$2:$R$75,Rates_data!$B$2:$B$75,$A36,Rates_data!$D$2:$D$75,$B36,Rates_data!$E$2:$E$75,$C36,Rates_data!$G$2:$G$75,$E36,Rates_data!$Y$2:$Y$75,1)/F36)</f>
        <v>0</v>
      </c>
      <c r="K36" s="8" t="n">
        <f aca="false" t="array" ref="K36:K36">IF(COUNTIFS(Rates_data!$B$2:$B$75,$A36,Rates_data!$D$2:$D$75,$B36,Rates_data!$E$2:$E$75,$C36,Rates_data!$G$2:$G$75,$E36,Rates_data!$Y$2:$Y$75,1,Rates_data!$S$2:$S$75,"&lt;&gt;")=0,"",MEDIAN(IF((Rates_data!$B$2:$B$75=$A36)*(Rates_data!$D$2:$D$75=$B36)*(Rates_data!$G$2:$G$75=$E36)*(Rates_data!$E$2:$E$75=$C36)*(Rates_data!$Y$2:$Y$75=1)*(Rates_data!$S$2:$S$75&lt;&gt;""),Rates_data!$S$2:$S$75)))</f>
        <v>171.01</v>
      </c>
      <c r="L36" s="8" t="n">
        <f aca="false">IF(COUNTIFS(Rates_data!$B$2:$B$75,$A36,Rates_data!$D$2:$D$75,$B36,Rates_data!$E$2:$E$75,$C36,Rates_data!$G$2:$G$75,$E36,Rates_data!$Y$2:$Y$75,1,Rates_data!$T$2:$T$75,"&lt;&gt;")=0,"",_xlfn.MINIFS(Rates_data!$T$2:$T$75,Rates_data!$B$2:$B$75,$A36,Rates_data!$D$2:$D$75,$B36,Rates_data!$E$2:$E$75,$C36,Rates_data!$G$2:$G$75,$E36,Rates_data!$Y$2:$Y$75,1))</f>
        <v>132.59</v>
      </c>
      <c r="M36" s="8" t="n">
        <f aca="false">IF(COUNTIFS(Rates_data!$B$2:$B$75,$A36,Rates_data!$D$2:$D$75,$B36,Rates_data!$E$2:$E$75,$C36,Rates_data!$G$2:$G$75,$E36,Rates_data!$Y$2:$Y$75,1,Rates_data!$U$2:$U$75,"&lt;&gt;")=0,"",_xlfn.MAXIFS(Rates_data!$U$2:$U$75,Rates_data!$B$2:$B$75,$A36,Rates_data!$D$2:$D$75,$B36,Rates_data!$E$2:$E$75,$C36,Rates_data!$G$2:$G$75,$E36,Rates_data!$Y$2:$Y$75,1))</f>
        <v>171.01</v>
      </c>
      <c r="N36" s="7" t="s">
        <v>44</v>
      </c>
      <c r="O36" s="10" t="n">
        <f aca="false">IF(K36&lt;&gt;"",K36,H36)</f>
        <v>171.01</v>
      </c>
      <c r="P36" s="7" t="str">
        <f aca="false">IF(K36&lt;&gt;"","median allowed","median negotiated")</f>
        <v>median allowed</v>
      </c>
    </row>
    <row r="37" customFormat="false" ht="15" hidden="false" customHeight="false" outlineLevel="0" collapsed="false">
      <c r="A37" s="7" t="s">
        <v>79</v>
      </c>
      <c r="B37" s="7" t="s">
        <v>45</v>
      </c>
      <c r="C37" s="7" t="s">
        <v>84</v>
      </c>
      <c r="D37" s="7" t="s">
        <v>85</v>
      </c>
      <c r="E37" s="7" t="s">
        <v>68</v>
      </c>
      <c r="F37" s="7" t="n">
        <f aca="false">COUNTIFS(Rates_data!$B$2:$B$75,$A37,Rates_data!$D$2:$D$75,$B37,Rates_data!$E$2:$E$75,$C37,Rates_data!$G$2:$G$75,$E37,Rates_data!$Y$2:$Y$75,1)</f>
        <v>1</v>
      </c>
      <c r="G37" s="8" t="n">
        <f aca="false">_xlfn.MINIFS(Rates_data!$P$2:$P$75,Rates_data!$B$2:$B$75,$A37,Rates_data!$D$2:$D$75,$B37,Rates_data!$E$2:$E$75,$C37,Rates_data!$G$2:$G$75,$E37,Rates_data!$Y$2:$Y$75,1)</f>
        <v>153.08</v>
      </c>
      <c r="H37" s="8" t="n">
        <f aca="false" t="array" ref="H37:H37">MEDIAN(IF((Rates_data!$B$2:$B$75=$A37)*(Rates_data!$D$2:$D$75=$B37)*(Rates_data!$G$2:$G$75=$E37)*(Rates_data!$E$2:$E$75=$C37)*(Rates_data!$Y$2:$Y$75=1)*(Rates_data!$P$2:$P$75&lt;&gt;""),Rates_data!$P$2:$P$75))</f>
        <v>153.08</v>
      </c>
      <c r="I37" s="8" t="n">
        <f aca="false">_xlfn.MAXIFS(Rates_data!$P$2:$P$75,Rates_data!$B$2:$B$75,$A37,Rates_data!$D$2:$D$75,$B37,Rates_data!$E$2:$E$75,$C37,Rates_data!$G$2:$G$75,$E37,Rates_data!$Y$2:$Y$75,1)</f>
        <v>153.08</v>
      </c>
      <c r="J37" s="9" t="n">
        <f aca="false">IF(F37=0,"",SUMIFS(Rates_data!$R$2:$R$75,Rates_data!$B$2:$B$75,$A37,Rates_data!$D$2:$D$75,$B37,Rates_data!$E$2:$E$75,$C37,Rates_data!$G$2:$G$75,$E37,Rates_data!$Y$2:$Y$75,1)/F37)</f>
        <v>0</v>
      </c>
      <c r="K37" s="8" t="n">
        <f aca="false" t="array" ref="K37:K37">IF(COUNTIFS(Rates_data!$B$2:$B$75,$A37,Rates_data!$D$2:$D$75,$B37,Rates_data!$E$2:$E$75,$C37,Rates_data!$G$2:$G$75,$E37,Rates_data!$Y$2:$Y$75,1,Rates_data!$S$2:$S$75,"&lt;&gt;")=0,"",MEDIAN(IF((Rates_data!$B$2:$B$75=$A37)*(Rates_data!$D$2:$D$75=$B37)*(Rates_data!$G$2:$G$75=$E37)*(Rates_data!$E$2:$E$75=$C37)*(Rates_data!$Y$2:$Y$75=1)*(Rates_data!$S$2:$S$75&lt;&gt;""),Rates_data!$S$2:$S$75)))</f>
        <v>168.27</v>
      </c>
      <c r="L37" s="8" t="n">
        <f aca="false">IF(COUNTIFS(Rates_data!$B$2:$B$75,$A37,Rates_data!$D$2:$D$75,$B37,Rates_data!$E$2:$E$75,$C37,Rates_data!$G$2:$G$75,$E37,Rates_data!$Y$2:$Y$75,1,Rates_data!$T$2:$T$75,"&lt;&gt;")=0,"",_xlfn.MINIFS(Rates_data!$T$2:$T$75,Rates_data!$B$2:$B$75,$A37,Rates_data!$D$2:$D$75,$B37,Rates_data!$E$2:$E$75,$C37,Rates_data!$G$2:$G$75,$E37,Rates_data!$Y$2:$Y$75,1))</f>
        <v>168.27</v>
      </c>
      <c r="M37" s="8" t="n">
        <f aca="false">IF(COUNTIFS(Rates_data!$B$2:$B$75,$A37,Rates_data!$D$2:$D$75,$B37,Rates_data!$E$2:$E$75,$C37,Rates_data!$G$2:$G$75,$E37,Rates_data!$Y$2:$Y$75,1,Rates_data!$U$2:$U$75,"&lt;&gt;")=0,"",_xlfn.MAXIFS(Rates_data!$U$2:$U$75,Rates_data!$B$2:$B$75,$A37,Rates_data!$D$2:$D$75,$B37,Rates_data!$E$2:$E$75,$C37,Rates_data!$G$2:$G$75,$E37,Rates_data!$Y$2:$Y$75,1))</f>
        <v>168.27</v>
      </c>
      <c r="N37" s="7" t="s">
        <v>44</v>
      </c>
      <c r="O37" s="10" t="n">
        <f aca="false">IF(K37&lt;&gt;"",K37,H37)</f>
        <v>168.27</v>
      </c>
      <c r="P37" s="7" t="str">
        <f aca="false">IF(K37&lt;&gt;"","median allowed","median negotiated")</f>
        <v>median allowed</v>
      </c>
    </row>
    <row r="38" customFormat="false" ht="15" hidden="false" customHeight="false" outlineLevel="0" collapsed="false">
      <c r="A38" s="7" t="s">
        <v>79</v>
      </c>
      <c r="B38" s="7" t="s">
        <v>45</v>
      </c>
      <c r="C38" s="7" t="s">
        <v>73</v>
      </c>
      <c r="D38" s="7" t="s">
        <v>74</v>
      </c>
      <c r="E38" s="7" t="s">
        <v>75</v>
      </c>
      <c r="F38" s="7" t="n">
        <f aca="false">COUNTIFS(Rates_data!$B$2:$B$75,$A38,Rates_data!$D$2:$D$75,$B38,Rates_data!$E$2:$E$75,$C38,Rates_data!$G$2:$G$75,$E38,Rates_data!$Y$2:$Y$75,1)</f>
        <v>1</v>
      </c>
      <c r="G38" s="8" t="n">
        <f aca="false">_xlfn.MINIFS(Rates_data!$P$2:$P$75,Rates_data!$B$2:$B$75,$A38,Rates_data!$D$2:$D$75,$B38,Rates_data!$E$2:$E$75,$C38,Rates_data!$G$2:$G$75,$E38,Rates_data!$Y$2:$Y$75,1)</f>
        <v>153.08</v>
      </c>
      <c r="H38" s="8" t="n">
        <f aca="false" t="array" ref="H38:H38">MEDIAN(IF((Rates_data!$B$2:$B$75=$A38)*(Rates_data!$D$2:$D$75=$B38)*(Rates_data!$G$2:$G$75=$E38)*(Rates_data!$E$2:$E$75=$C38)*(Rates_data!$Y$2:$Y$75=1)*(Rates_data!$P$2:$P$75&lt;&gt;""),Rates_data!$P$2:$P$75))</f>
        <v>153.08</v>
      </c>
      <c r="I38" s="8" t="n">
        <f aca="false">_xlfn.MAXIFS(Rates_data!$P$2:$P$75,Rates_data!$B$2:$B$75,$A38,Rates_data!$D$2:$D$75,$B38,Rates_data!$E$2:$E$75,$C38,Rates_data!$G$2:$G$75,$E38,Rates_data!$Y$2:$Y$75,1)</f>
        <v>153.08</v>
      </c>
      <c r="J38" s="9" t="n">
        <f aca="false">IF(F38=0,"",SUMIFS(Rates_data!$R$2:$R$75,Rates_data!$B$2:$B$75,$A38,Rates_data!$D$2:$D$75,$B38,Rates_data!$E$2:$E$75,$C38,Rates_data!$G$2:$G$75,$E38,Rates_data!$Y$2:$Y$75,1)/F38)</f>
        <v>0</v>
      </c>
      <c r="K38" s="8" t="n">
        <f aca="false" t="array" ref="K38:K38">IF(COUNTIFS(Rates_data!$B$2:$B$75,$A38,Rates_data!$D$2:$D$75,$B38,Rates_data!$E$2:$E$75,$C38,Rates_data!$G$2:$G$75,$E38,Rates_data!$Y$2:$Y$75,1,Rates_data!$S$2:$S$75,"&lt;&gt;")=0,"",MEDIAN(IF((Rates_data!$B$2:$B$75=$A38)*(Rates_data!$D$2:$D$75=$B38)*(Rates_data!$G$2:$G$75=$E38)*(Rates_data!$E$2:$E$75=$C38)*(Rates_data!$Y$2:$Y$75=1)*(Rates_data!$S$2:$S$75&lt;&gt;""),Rates_data!$S$2:$S$75)))</f>
        <v>306.16</v>
      </c>
      <c r="L38" s="8" t="n">
        <f aca="false">IF(COUNTIFS(Rates_data!$B$2:$B$75,$A38,Rates_data!$D$2:$D$75,$B38,Rates_data!$E$2:$E$75,$C38,Rates_data!$G$2:$G$75,$E38,Rates_data!$Y$2:$Y$75,1,Rates_data!$T$2:$T$75,"&lt;&gt;")=0,"",_xlfn.MINIFS(Rates_data!$T$2:$T$75,Rates_data!$B$2:$B$75,$A38,Rates_data!$D$2:$D$75,$B38,Rates_data!$E$2:$E$75,$C38,Rates_data!$G$2:$G$75,$E38,Rates_data!$Y$2:$Y$75,1))</f>
        <v>306.16</v>
      </c>
      <c r="M38" s="8" t="n">
        <f aca="false">IF(COUNTIFS(Rates_data!$B$2:$B$75,$A38,Rates_data!$D$2:$D$75,$B38,Rates_data!$E$2:$E$75,$C38,Rates_data!$G$2:$G$75,$E38,Rates_data!$Y$2:$Y$75,1,Rates_data!$U$2:$U$75,"&lt;&gt;")=0,"",_xlfn.MAXIFS(Rates_data!$U$2:$U$75,Rates_data!$B$2:$B$75,$A38,Rates_data!$D$2:$D$75,$B38,Rates_data!$E$2:$E$75,$C38,Rates_data!$G$2:$G$75,$E38,Rates_data!$Y$2:$Y$75,1))</f>
        <v>306.16</v>
      </c>
      <c r="N38" s="7" t="s">
        <v>44</v>
      </c>
      <c r="O38" s="10" t="n">
        <f aca="false">IF(K38&lt;&gt;"",K38,H38)</f>
        <v>306.16</v>
      </c>
      <c r="P38" s="7" t="str">
        <f aca="false">IF(K38&lt;&gt;"","median allowed","median negotiated")</f>
        <v>median allowed</v>
      </c>
    </row>
    <row r="39" customFormat="false" ht="15" hidden="false" customHeight="false" outlineLevel="0" collapsed="false">
      <c r="A39" s="7" t="s">
        <v>79</v>
      </c>
      <c r="B39" s="7" t="s">
        <v>60</v>
      </c>
      <c r="C39" s="7" t="s">
        <v>50</v>
      </c>
      <c r="D39" s="7" t="s">
        <v>49</v>
      </c>
      <c r="E39" s="7" t="s">
        <v>43</v>
      </c>
      <c r="F39" s="7" t="n">
        <f aca="false">COUNTIFS(Rates_data!$B$2:$B$75,$A39,Rates_data!$D$2:$D$75,$B39,Rates_data!$E$2:$E$75,$C39,Rates_data!$G$2:$G$75,$E39,Rates_data!$Y$2:$Y$75,1)</f>
        <v>1</v>
      </c>
      <c r="G39" s="8" t="n">
        <f aca="false">_xlfn.MINIFS(Rates_data!$P$2:$P$75,Rates_data!$B$2:$B$75,$A39,Rates_data!$D$2:$D$75,$B39,Rates_data!$E$2:$E$75,$C39,Rates_data!$G$2:$G$75,$E39,Rates_data!$Y$2:$Y$75,1)</f>
        <v>479.74</v>
      </c>
      <c r="H39" s="8" t="n">
        <f aca="false" t="array" ref="H39:H39">MEDIAN(IF((Rates_data!$B$2:$B$75=$A39)*(Rates_data!$D$2:$D$75=$B39)*(Rates_data!$G$2:$G$75=$E39)*(Rates_data!$E$2:$E$75=$C39)*(Rates_data!$Y$2:$Y$75=1)*(Rates_data!$P$2:$P$75&lt;&gt;""),Rates_data!$P$2:$P$75))</f>
        <v>479.74</v>
      </c>
      <c r="I39" s="8" t="n">
        <f aca="false">_xlfn.MAXIFS(Rates_data!$P$2:$P$75,Rates_data!$B$2:$B$75,$A39,Rates_data!$D$2:$D$75,$B39,Rates_data!$E$2:$E$75,$C39,Rates_data!$G$2:$G$75,$E39,Rates_data!$Y$2:$Y$75,1)</f>
        <v>479.74</v>
      </c>
      <c r="J39" s="9" t="n">
        <f aca="false">IF(F39=0,"",SUMIFS(Rates_data!$R$2:$R$75,Rates_data!$B$2:$B$75,$A39,Rates_data!$D$2:$D$75,$B39,Rates_data!$E$2:$E$75,$C39,Rates_data!$G$2:$G$75,$E39,Rates_data!$Y$2:$Y$75,1)/F39)</f>
        <v>1</v>
      </c>
      <c r="K39" s="8" t="n">
        <f aca="false" t="array" ref="K39:K39">IF(COUNTIFS(Rates_data!$B$2:$B$75,$A39,Rates_data!$D$2:$D$75,$B39,Rates_data!$E$2:$E$75,$C39,Rates_data!$G$2:$G$75,$E39,Rates_data!$Y$2:$Y$75,1,Rates_data!$S$2:$S$75,"&lt;&gt;")=0,"",MEDIAN(IF((Rates_data!$B$2:$B$75=$A39)*(Rates_data!$D$2:$D$75=$B39)*(Rates_data!$G$2:$G$75=$E39)*(Rates_data!$E$2:$E$75=$C39)*(Rates_data!$Y$2:$Y$75=1)*(Rates_data!$S$2:$S$75&lt;&gt;""),Rates_data!$S$2:$S$75)))</f>
        <v>461.18</v>
      </c>
      <c r="L39" s="8" t="n">
        <f aca="false">IF(COUNTIFS(Rates_data!$B$2:$B$75,$A39,Rates_data!$D$2:$D$75,$B39,Rates_data!$E$2:$E$75,$C39,Rates_data!$G$2:$G$75,$E39,Rates_data!$Y$2:$Y$75,1,Rates_data!$T$2:$T$75,"&lt;&gt;")=0,"",_xlfn.MINIFS(Rates_data!$T$2:$T$75,Rates_data!$B$2:$B$75,$A39,Rates_data!$D$2:$D$75,$B39,Rates_data!$E$2:$E$75,$C39,Rates_data!$G$2:$G$75,$E39,Rates_data!$Y$2:$Y$75,1))</f>
        <v>461.18</v>
      </c>
      <c r="M39" s="8" t="n">
        <f aca="false">IF(COUNTIFS(Rates_data!$B$2:$B$75,$A39,Rates_data!$D$2:$D$75,$B39,Rates_data!$E$2:$E$75,$C39,Rates_data!$G$2:$G$75,$E39,Rates_data!$Y$2:$Y$75,1,Rates_data!$U$2:$U$75,"&lt;&gt;")=0,"",_xlfn.MAXIFS(Rates_data!$U$2:$U$75,Rates_data!$B$2:$B$75,$A39,Rates_data!$D$2:$D$75,$B39,Rates_data!$E$2:$E$75,$C39,Rates_data!$G$2:$G$75,$E39,Rates_data!$Y$2:$Y$75,1))</f>
        <v>461.18</v>
      </c>
      <c r="N39" s="7" t="s">
        <v>80</v>
      </c>
      <c r="O39" s="10" t="n">
        <f aca="false">IF(K39&lt;&gt;"",K39,H39)</f>
        <v>461.18</v>
      </c>
      <c r="P39" s="7" t="str">
        <f aca="false">IF(K39&lt;&gt;"","median allowed","median negotiated")</f>
        <v>median allowed</v>
      </c>
    </row>
    <row r="40" customFormat="false" ht="15" hidden="false" customHeight="false" outlineLevel="0" collapsed="false">
      <c r="A40" s="7" t="s">
        <v>79</v>
      </c>
      <c r="B40" s="7" t="s">
        <v>60</v>
      </c>
      <c r="C40" s="7" t="s">
        <v>81</v>
      </c>
      <c r="D40" s="7" t="s">
        <v>82</v>
      </c>
      <c r="E40" s="7" t="s">
        <v>43</v>
      </c>
      <c r="F40" s="7" t="n">
        <f aca="false">COUNTIFS(Rates_data!$B$2:$B$75,$A40,Rates_data!$D$2:$D$75,$B40,Rates_data!$E$2:$E$75,$C40,Rates_data!$G$2:$G$75,$E40,Rates_data!$Y$2:$Y$75,1)</f>
        <v>1</v>
      </c>
      <c r="G40" s="8" t="n">
        <f aca="false">_xlfn.MINIFS(Rates_data!$P$2:$P$75,Rates_data!$B$2:$B$75,$A40,Rates_data!$D$2:$D$75,$B40,Rates_data!$E$2:$E$75,$C40,Rates_data!$G$2:$G$75,$E40,Rates_data!$Y$2:$Y$75,1)</f>
        <v>590.57</v>
      </c>
      <c r="H40" s="8" t="n">
        <f aca="false" t="array" ref="H40:H40">MEDIAN(IF((Rates_data!$B$2:$B$75=$A40)*(Rates_data!$D$2:$D$75=$B40)*(Rates_data!$G$2:$G$75=$E40)*(Rates_data!$E$2:$E$75=$C40)*(Rates_data!$Y$2:$Y$75=1)*(Rates_data!$P$2:$P$75&lt;&gt;""),Rates_data!$P$2:$P$75))</f>
        <v>590.57</v>
      </c>
      <c r="I40" s="8" t="n">
        <f aca="false">_xlfn.MAXIFS(Rates_data!$P$2:$P$75,Rates_data!$B$2:$B$75,$A40,Rates_data!$D$2:$D$75,$B40,Rates_data!$E$2:$E$75,$C40,Rates_data!$G$2:$G$75,$E40,Rates_data!$Y$2:$Y$75,1)</f>
        <v>590.57</v>
      </c>
      <c r="J40" s="9" t="n">
        <f aca="false">IF(F40=0,"",SUMIFS(Rates_data!$R$2:$R$75,Rates_data!$B$2:$B$75,$A40,Rates_data!$D$2:$D$75,$B40,Rates_data!$E$2:$E$75,$C40,Rates_data!$G$2:$G$75,$E40,Rates_data!$Y$2:$Y$75,1)/F40)</f>
        <v>1</v>
      </c>
      <c r="K40" s="8" t="n">
        <f aca="false" t="array" ref="K40:K40">IF(COUNTIFS(Rates_data!$B$2:$B$75,$A40,Rates_data!$D$2:$D$75,$B40,Rates_data!$E$2:$E$75,$C40,Rates_data!$G$2:$G$75,$E40,Rates_data!$Y$2:$Y$75,1,Rates_data!$S$2:$S$75,"&lt;&gt;")=0,"",MEDIAN(IF((Rates_data!$B$2:$B$75=$A40)*(Rates_data!$D$2:$D$75=$B40)*(Rates_data!$G$2:$G$75=$E40)*(Rates_data!$E$2:$E$75=$C40)*(Rates_data!$Y$2:$Y$75=1)*(Rates_data!$S$2:$S$75&lt;&gt;""),Rates_data!$S$2:$S$75)))</f>
        <v>574.51</v>
      </c>
      <c r="L40" s="8" t="n">
        <f aca="false">IF(COUNTIFS(Rates_data!$B$2:$B$75,$A40,Rates_data!$D$2:$D$75,$B40,Rates_data!$E$2:$E$75,$C40,Rates_data!$G$2:$G$75,$E40,Rates_data!$Y$2:$Y$75,1,Rates_data!$T$2:$T$75,"&lt;&gt;")=0,"",_xlfn.MINIFS(Rates_data!$T$2:$T$75,Rates_data!$B$2:$B$75,$A40,Rates_data!$D$2:$D$75,$B40,Rates_data!$E$2:$E$75,$C40,Rates_data!$G$2:$G$75,$E40,Rates_data!$Y$2:$Y$75,1))</f>
        <v>557.72</v>
      </c>
      <c r="M40" s="8" t="n">
        <f aca="false">IF(COUNTIFS(Rates_data!$B$2:$B$75,$A40,Rates_data!$D$2:$D$75,$B40,Rates_data!$E$2:$E$75,$C40,Rates_data!$G$2:$G$75,$E40,Rates_data!$Y$2:$Y$75,1,Rates_data!$U$2:$U$75,"&lt;&gt;")=0,"",_xlfn.MAXIFS(Rates_data!$U$2:$U$75,Rates_data!$B$2:$B$75,$A40,Rates_data!$D$2:$D$75,$B40,Rates_data!$E$2:$E$75,$C40,Rates_data!$G$2:$G$75,$E40,Rates_data!$Y$2:$Y$75,1))</f>
        <v>574.51</v>
      </c>
      <c r="N40" s="7" t="s">
        <v>44</v>
      </c>
      <c r="O40" s="10" t="n">
        <f aca="false">IF(K40&lt;&gt;"",K40,H40)</f>
        <v>574.51</v>
      </c>
      <c r="P40" s="7" t="str">
        <f aca="false">IF(K40&lt;&gt;"","median allowed","median negotiated")</f>
        <v>median allowed</v>
      </c>
    </row>
    <row r="41" customFormat="false" ht="15" hidden="false" customHeight="false" outlineLevel="0" collapsed="false">
      <c r="A41" s="7" t="s">
        <v>79</v>
      </c>
      <c r="B41" s="7" t="s">
        <v>60</v>
      </c>
      <c r="C41" s="7" t="s">
        <v>41</v>
      </c>
      <c r="D41" s="7" t="s">
        <v>42</v>
      </c>
      <c r="E41" s="7" t="s">
        <v>43</v>
      </c>
      <c r="F41" s="7" t="n">
        <f aca="false">COUNTIFS(Rates_data!$B$2:$B$75,$A41,Rates_data!$D$2:$D$75,$B41,Rates_data!$E$2:$E$75,$C41,Rates_data!$G$2:$G$75,$E41,Rates_data!$Y$2:$Y$75,1)</f>
        <v>2</v>
      </c>
      <c r="G41" s="8" t="n">
        <f aca="false">_xlfn.MINIFS(Rates_data!$P$2:$P$75,Rates_data!$B$2:$B$75,$A41,Rates_data!$D$2:$D$75,$B41,Rates_data!$E$2:$E$75,$C41,Rates_data!$G$2:$G$75,$E41,Rates_data!$Y$2:$Y$75,1)</f>
        <v>359.6</v>
      </c>
      <c r="H41" s="8" t="n">
        <f aca="false" t="array" ref="H41:H41">MEDIAN(IF((Rates_data!$B$2:$B$75=$A41)*(Rates_data!$D$2:$D$75=$B41)*(Rates_data!$G$2:$G$75=$E41)*(Rates_data!$E$2:$E$75=$C41)*(Rates_data!$Y$2:$Y$75=1)*(Rates_data!$P$2:$P$75&lt;&gt;""),Rates_data!$P$2:$P$75))</f>
        <v>497.13</v>
      </c>
      <c r="I41" s="8" t="n">
        <f aca="false">_xlfn.MAXIFS(Rates_data!$P$2:$P$75,Rates_data!$B$2:$B$75,$A41,Rates_data!$D$2:$D$75,$B41,Rates_data!$E$2:$E$75,$C41,Rates_data!$G$2:$G$75,$E41,Rates_data!$Y$2:$Y$75,1)</f>
        <v>634.66</v>
      </c>
      <c r="J41" s="9" t="n">
        <f aca="false">IF(F41=0,"",SUMIFS(Rates_data!$R$2:$R$75,Rates_data!$B$2:$B$75,$A41,Rates_data!$D$2:$D$75,$B41,Rates_data!$E$2:$E$75,$C41,Rates_data!$G$2:$G$75,$E41,Rates_data!$Y$2:$Y$75,1)/F41)</f>
        <v>1</v>
      </c>
      <c r="K41" s="8" t="n">
        <f aca="false" t="array" ref="K41:K41">IF(COUNTIFS(Rates_data!$B$2:$B$75,$A41,Rates_data!$D$2:$D$75,$B41,Rates_data!$E$2:$E$75,$C41,Rates_data!$G$2:$G$75,$E41,Rates_data!$Y$2:$Y$75,1,Rates_data!$S$2:$S$75,"&lt;&gt;")=0,"",MEDIAN(IF((Rates_data!$B$2:$B$75=$A41)*(Rates_data!$D$2:$D$75=$B41)*(Rates_data!$G$2:$G$75=$E41)*(Rates_data!$E$2:$E$75=$C41)*(Rates_data!$Y$2:$Y$75=1)*(Rates_data!$S$2:$S$75&lt;&gt;""),Rates_data!$S$2:$S$75)))</f>
        <v>481.805</v>
      </c>
      <c r="L41" s="8" t="n">
        <f aca="false">IF(COUNTIFS(Rates_data!$B$2:$B$75,$A41,Rates_data!$D$2:$D$75,$B41,Rates_data!$E$2:$E$75,$C41,Rates_data!$G$2:$G$75,$E41,Rates_data!$Y$2:$Y$75,1,Rates_data!$T$2:$T$75,"&lt;&gt;")=0,"",_xlfn.MINIFS(Rates_data!$T$2:$T$75,Rates_data!$B$2:$B$75,$A41,Rates_data!$D$2:$D$75,$B41,Rates_data!$E$2:$E$75,$C41,Rates_data!$G$2:$G$75,$E41,Rates_data!$Y$2:$Y$75,1))</f>
        <v>358.56</v>
      </c>
      <c r="M41" s="8" t="n">
        <f aca="false">IF(COUNTIFS(Rates_data!$B$2:$B$75,$A41,Rates_data!$D$2:$D$75,$B41,Rates_data!$E$2:$E$75,$C41,Rates_data!$G$2:$G$75,$E41,Rates_data!$Y$2:$Y$75,1,Rates_data!$U$2:$U$75,"&lt;&gt;")=0,"",_xlfn.MAXIFS(Rates_data!$U$2:$U$75,Rates_data!$B$2:$B$75,$A41,Rates_data!$D$2:$D$75,$B41,Rates_data!$E$2:$E$75,$C41,Rates_data!$G$2:$G$75,$E41,Rates_data!$Y$2:$Y$75,1))</f>
        <v>605.05</v>
      </c>
      <c r="N41" s="7" t="s">
        <v>86</v>
      </c>
      <c r="O41" s="10" t="n">
        <f aca="false">IF(K41&lt;&gt;"",K41,H41)</f>
        <v>481.805</v>
      </c>
      <c r="P41" s="7" t="str">
        <f aca="false">IF(K41&lt;&gt;"","median allowed","median negotiated")</f>
        <v>median allowed</v>
      </c>
    </row>
    <row r="42" customFormat="false" ht="15" hidden="false" customHeight="false" outlineLevel="0" collapsed="false">
      <c r="A42" s="7" t="s">
        <v>79</v>
      </c>
      <c r="B42" s="7" t="s">
        <v>60</v>
      </c>
      <c r="C42" s="7" t="s">
        <v>58</v>
      </c>
      <c r="D42" s="7" t="s">
        <v>59</v>
      </c>
      <c r="E42" s="7" t="s">
        <v>43</v>
      </c>
      <c r="F42" s="7" t="n">
        <f aca="false">COUNTIFS(Rates_data!$B$2:$B$75,$A42,Rates_data!$D$2:$D$75,$B42,Rates_data!$E$2:$E$75,$C42,Rates_data!$G$2:$G$75,$E42,Rates_data!$Y$2:$Y$75,1)</f>
        <v>1</v>
      </c>
      <c r="G42" s="8" t="n">
        <f aca="false">_xlfn.MINIFS(Rates_data!$P$2:$P$75,Rates_data!$B$2:$B$75,$A42,Rates_data!$D$2:$D$75,$B42,Rates_data!$E$2:$E$75,$C42,Rates_data!$G$2:$G$75,$E42,Rates_data!$Y$2:$Y$75,1)</f>
        <v>630.29</v>
      </c>
      <c r="H42" s="8" t="n">
        <f aca="false" t="array" ref="H42:H42">MEDIAN(IF((Rates_data!$B$2:$B$75=$A42)*(Rates_data!$D$2:$D$75=$B42)*(Rates_data!$G$2:$G$75=$E42)*(Rates_data!$E$2:$E$75=$C42)*(Rates_data!$Y$2:$Y$75=1)*(Rates_data!$P$2:$P$75&lt;&gt;""),Rates_data!$P$2:$P$75))</f>
        <v>630.29</v>
      </c>
      <c r="I42" s="8" t="n">
        <f aca="false">_xlfn.MAXIFS(Rates_data!$P$2:$P$75,Rates_data!$B$2:$B$75,$A42,Rates_data!$D$2:$D$75,$B42,Rates_data!$E$2:$E$75,$C42,Rates_data!$G$2:$G$75,$E42,Rates_data!$Y$2:$Y$75,1)</f>
        <v>630.29</v>
      </c>
      <c r="J42" s="9" t="n">
        <f aca="false">IF(F42=0,"",SUMIFS(Rates_data!$R$2:$R$75,Rates_data!$B$2:$B$75,$A42,Rates_data!$D$2:$D$75,$B42,Rates_data!$E$2:$E$75,$C42,Rates_data!$G$2:$G$75,$E42,Rates_data!$Y$2:$Y$75,1)/F42)</f>
        <v>1</v>
      </c>
      <c r="K42" s="8" t="n">
        <f aca="false" t="array" ref="K42:K42">IF(COUNTIFS(Rates_data!$B$2:$B$75,$A42,Rates_data!$D$2:$D$75,$B42,Rates_data!$E$2:$E$75,$C42,Rates_data!$G$2:$G$75,$E42,Rates_data!$Y$2:$Y$75,1,Rates_data!$S$2:$S$75,"&lt;&gt;")=0,"",MEDIAN(IF((Rates_data!$B$2:$B$75=$A42)*(Rates_data!$D$2:$D$75=$B42)*(Rates_data!$G$2:$G$75=$E42)*(Rates_data!$E$2:$E$75=$C42)*(Rates_data!$Y$2:$Y$75=1)*(Rates_data!$S$2:$S$75&lt;&gt;""),Rates_data!$S$2:$S$75)))</f>
        <v>787</v>
      </c>
      <c r="L42" s="8" t="n">
        <f aca="false">IF(COUNTIFS(Rates_data!$B$2:$B$75,$A42,Rates_data!$D$2:$D$75,$B42,Rates_data!$E$2:$E$75,$C42,Rates_data!$G$2:$G$75,$E42,Rates_data!$Y$2:$Y$75,1,Rates_data!$T$2:$T$75,"&lt;&gt;")=0,"",_xlfn.MINIFS(Rates_data!$T$2:$T$75,Rates_data!$B$2:$B$75,$A42,Rates_data!$D$2:$D$75,$B42,Rates_data!$E$2:$E$75,$C42,Rates_data!$G$2:$G$75,$E42,Rates_data!$Y$2:$Y$75,1))</f>
        <v>619.84</v>
      </c>
      <c r="M42" s="8" t="n">
        <f aca="false">IF(COUNTIFS(Rates_data!$B$2:$B$75,$A42,Rates_data!$D$2:$D$75,$B42,Rates_data!$E$2:$E$75,$C42,Rates_data!$G$2:$G$75,$E42,Rates_data!$Y$2:$Y$75,1,Rates_data!$U$2:$U$75,"&lt;&gt;")=0,"",_xlfn.MAXIFS(Rates_data!$U$2:$U$75,Rates_data!$B$2:$B$75,$A42,Rates_data!$D$2:$D$75,$B42,Rates_data!$E$2:$E$75,$C42,Rates_data!$G$2:$G$75,$E42,Rates_data!$Y$2:$Y$75,1))</f>
        <v>1406.84</v>
      </c>
      <c r="N42" s="7" t="s">
        <v>87</v>
      </c>
      <c r="O42" s="10" t="n">
        <f aca="false">IF(K42&lt;&gt;"",K42,H42)</f>
        <v>787</v>
      </c>
      <c r="P42" s="7" t="str">
        <f aca="false">IF(K42&lt;&gt;"","median allowed","median negotiated")</f>
        <v>median allowed</v>
      </c>
    </row>
    <row r="43" customFormat="false" ht="15" hidden="false" customHeight="false" outlineLevel="0" collapsed="false">
      <c r="A43" s="7" t="s">
        <v>79</v>
      </c>
      <c r="B43" s="7" t="s">
        <v>60</v>
      </c>
      <c r="C43" s="7" t="s">
        <v>66</v>
      </c>
      <c r="D43" s="7" t="s">
        <v>67</v>
      </c>
      <c r="E43" s="7" t="s">
        <v>68</v>
      </c>
      <c r="F43" s="7" t="n">
        <f aca="false">COUNTIFS(Rates_data!$B$2:$B$75,$A43,Rates_data!$D$2:$D$75,$B43,Rates_data!$E$2:$E$75,$C43,Rates_data!$G$2:$G$75,$E43,Rates_data!$Y$2:$Y$75,1)</f>
        <v>1</v>
      </c>
      <c r="G43" s="8" t="n">
        <f aca="false">_xlfn.MINIFS(Rates_data!$P$2:$P$75,Rates_data!$B$2:$B$75,$A43,Rates_data!$D$2:$D$75,$B43,Rates_data!$E$2:$E$75,$C43,Rates_data!$G$2:$G$75,$E43,Rates_data!$Y$2:$Y$75,1)</f>
        <v>369.81</v>
      </c>
      <c r="H43" s="8" t="n">
        <f aca="false" t="array" ref="H43:H43">MEDIAN(IF((Rates_data!$B$2:$B$75=$A43)*(Rates_data!$D$2:$D$75=$B43)*(Rates_data!$G$2:$G$75=$E43)*(Rates_data!$E$2:$E$75=$C43)*(Rates_data!$Y$2:$Y$75=1)*(Rates_data!$P$2:$P$75&lt;&gt;""),Rates_data!$P$2:$P$75))</f>
        <v>369.81</v>
      </c>
      <c r="I43" s="8" t="n">
        <f aca="false">_xlfn.MAXIFS(Rates_data!$P$2:$P$75,Rates_data!$B$2:$B$75,$A43,Rates_data!$D$2:$D$75,$B43,Rates_data!$E$2:$E$75,$C43,Rates_data!$G$2:$G$75,$E43,Rates_data!$Y$2:$Y$75,1)</f>
        <v>369.81</v>
      </c>
      <c r="J43" s="9" t="n">
        <f aca="false">IF(F43=0,"",SUMIFS(Rates_data!$R$2:$R$75,Rates_data!$B$2:$B$75,$A43,Rates_data!$D$2:$D$75,$B43,Rates_data!$E$2:$E$75,$C43,Rates_data!$G$2:$G$75,$E43,Rates_data!$Y$2:$Y$75,1)/F43)</f>
        <v>0</v>
      </c>
      <c r="K43" s="8" t="n">
        <f aca="false" t="array" ref="K43:K43">IF(COUNTIFS(Rates_data!$B$2:$B$75,$A43,Rates_data!$D$2:$D$75,$B43,Rates_data!$E$2:$E$75,$C43,Rates_data!$G$2:$G$75,$E43,Rates_data!$Y$2:$Y$75,1,Rates_data!$S$2:$S$75,"&lt;&gt;")=0,"",MEDIAN(IF((Rates_data!$B$2:$B$75=$A43)*(Rates_data!$D$2:$D$75=$B43)*(Rates_data!$G$2:$G$75=$E43)*(Rates_data!$E$2:$E$75=$C43)*(Rates_data!$Y$2:$Y$75=1)*(Rates_data!$S$2:$S$75&lt;&gt;""),Rates_data!$S$2:$S$75)))</f>
        <v>363.89</v>
      </c>
      <c r="L43" s="8" t="n">
        <f aca="false">IF(COUNTIFS(Rates_data!$B$2:$B$75,$A43,Rates_data!$D$2:$D$75,$B43,Rates_data!$E$2:$E$75,$C43,Rates_data!$G$2:$G$75,$E43,Rates_data!$Y$2:$Y$75,1,Rates_data!$T$2:$T$75,"&lt;&gt;")=0,"",_xlfn.MINIFS(Rates_data!$T$2:$T$75,Rates_data!$B$2:$B$75,$A43,Rates_data!$D$2:$D$75,$B43,Rates_data!$E$2:$E$75,$C43,Rates_data!$G$2:$G$75,$E43,Rates_data!$Y$2:$Y$75,1))</f>
        <v>154.13</v>
      </c>
      <c r="M43" s="8" t="n">
        <f aca="false">IF(COUNTIFS(Rates_data!$B$2:$B$75,$A43,Rates_data!$D$2:$D$75,$B43,Rates_data!$E$2:$E$75,$C43,Rates_data!$G$2:$G$75,$E43,Rates_data!$Y$2:$Y$75,1,Rates_data!$U$2:$U$75,"&lt;&gt;")=0,"",_xlfn.MAXIFS(Rates_data!$U$2:$U$75,Rates_data!$B$2:$B$75,$A43,Rates_data!$D$2:$D$75,$B43,Rates_data!$E$2:$E$75,$C43,Rates_data!$G$2:$G$75,$E43,Rates_data!$Y$2:$Y$75,1))</f>
        <v>363.89</v>
      </c>
      <c r="N43" s="7" t="s">
        <v>44</v>
      </c>
      <c r="O43" s="10" t="n">
        <f aca="false">IF(K43&lt;&gt;"",K43,H43)</f>
        <v>363.89</v>
      </c>
      <c r="P43" s="7" t="str">
        <f aca="false">IF(K43&lt;&gt;"","median allowed","median negotiated")</f>
        <v>median allowed</v>
      </c>
    </row>
    <row r="44" customFormat="false" ht="15" hidden="false" customHeight="false" outlineLevel="0" collapsed="false">
      <c r="A44" s="7" t="s">
        <v>79</v>
      </c>
      <c r="B44" s="7" t="s">
        <v>60</v>
      </c>
      <c r="C44" s="7" t="s">
        <v>84</v>
      </c>
      <c r="D44" s="7" t="s">
        <v>85</v>
      </c>
      <c r="E44" s="7" t="s">
        <v>68</v>
      </c>
      <c r="F44" s="7" t="n">
        <f aca="false">COUNTIFS(Rates_data!$B$2:$B$75,$A44,Rates_data!$D$2:$D$75,$B44,Rates_data!$E$2:$E$75,$C44,Rates_data!$G$2:$G$75,$E44,Rates_data!$Y$2:$Y$75,1)</f>
        <v>1</v>
      </c>
      <c r="G44" s="8" t="n">
        <f aca="false">_xlfn.MINIFS(Rates_data!$P$2:$P$75,Rates_data!$B$2:$B$75,$A44,Rates_data!$D$2:$D$75,$B44,Rates_data!$E$2:$E$75,$C44,Rates_data!$G$2:$G$75,$E44,Rates_data!$Y$2:$Y$75,1)</f>
        <v>369.81</v>
      </c>
      <c r="H44" s="8" t="n">
        <f aca="false" t="array" ref="H44:H44">MEDIAN(IF((Rates_data!$B$2:$B$75=$A44)*(Rates_data!$D$2:$D$75=$B44)*(Rates_data!$G$2:$G$75=$E44)*(Rates_data!$E$2:$E$75=$C44)*(Rates_data!$Y$2:$Y$75=1)*(Rates_data!$P$2:$P$75&lt;&gt;""),Rates_data!$P$2:$P$75))</f>
        <v>369.81</v>
      </c>
      <c r="I44" s="8" t="n">
        <f aca="false">_xlfn.MAXIFS(Rates_data!$P$2:$P$75,Rates_data!$B$2:$B$75,$A44,Rates_data!$D$2:$D$75,$B44,Rates_data!$E$2:$E$75,$C44,Rates_data!$G$2:$G$75,$E44,Rates_data!$Y$2:$Y$75,1)</f>
        <v>369.81</v>
      </c>
      <c r="J44" s="9" t="n">
        <f aca="false">IF(F44=0,"",SUMIFS(Rates_data!$R$2:$R$75,Rates_data!$B$2:$B$75,$A44,Rates_data!$D$2:$D$75,$B44,Rates_data!$E$2:$E$75,$C44,Rates_data!$G$2:$G$75,$E44,Rates_data!$Y$2:$Y$75,1)/F44)</f>
        <v>0</v>
      </c>
      <c r="K44" s="8" t="n">
        <f aca="false" t="array" ref="K44:K44">IF(COUNTIFS(Rates_data!$B$2:$B$75,$A44,Rates_data!$D$2:$D$75,$B44,Rates_data!$E$2:$E$75,$C44,Rates_data!$G$2:$G$75,$E44,Rates_data!$Y$2:$Y$75,1,Rates_data!$S$2:$S$75,"&lt;&gt;")=0,"",MEDIAN(IF((Rates_data!$B$2:$B$75=$A44)*(Rates_data!$D$2:$D$75=$B44)*(Rates_data!$G$2:$G$75=$E44)*(Rates_data!$E$2:$E$75=$C44)*(Rates_data!$Y$2:$Y$75=1)*(Rates_data!$S$2:$S$75&lt;&gt;""),Rates_data!$S$2:$S$75)))</f>
        <v>366.63</v>
      </c>
      <c r="L44" s="8" t="n">
        <f aca="false">IF(COUNTIFS(Rates_data!$B$2:$B$75,$A44,Rates_data!$D$2:$D$75,$B44,Rates_data!$E$2:$E$75,$C44,Rates_data!$G$2:$G$75,$E44,Rates_data!$Y$2:$Y$75,1,Rates_data!$T$2:$T$75,"&lt;&gt;")=0,"",_xlfn.MINIFS(Rates_data!$T$2:$T$75,Rates_data!$B$2:$B$75,$A44,Rates_data!$D$2:$D$75,$B44,Rates_data!$E$2:$E$75,$C44,Rates_data!$G$2:$G$75,$E44,Rates_data!$Y$2:$Y$75,1))</f>
        <v>366.63</v>
      </c>
      <c r="M44" s="8" t="n">
        <f aca="false">IF(COUNTIFS(Rates_data!$B$2:$B$75,$A44,Rates_data!$D$2:$D$75,$B44,Rates_data!$E$2:$E$75,$C44,Rates_data!$G$2:$G$75,$E44,Rates_data!$Y$2:$Y$75,1,Rates_data!$U$2:$U$75,"&lt;&gt;")=0,"",_xlfn.MAXIFS(Rates_data!$U$2:$U$75,Rates_data!$B$2:$B$75,$A44,Rates_data!$D$2:$D$75,$B44,Rates_data!$E$2:$E$75,$C44,Rates_data!$G$2:$G$75,$E44,Rates_data!$Y$2:$Y$75,1))</f>
        <v>366.63</v>
      </c>
      <c r="N44" s="7" t="s">
        <v>44</v>
      </c>
      <c r="O44" s="10" t="n">
        <f aca="false">IF(K44&lt;&gt;"",K44,H44)</f>
        <v>366.63</v>
      </c>
      <c r="P44" s="7" t="str">
        <f aca="false">IF(K44&lt;&gt;"","median allowed","median negotiated")</f>
        <v>median allowed</v>
      </c>
    </row>
    <row r="45" customFormat="false" ht="15" hidden="false" customHeight="false" outlineLevel="0" collapsed="false">
      <c r="A45" s="7" t="s">
        <v>79</v>
      </c>
      <c r="B45" s="7" t="s">
        <v>60</v>
      </c>
      <c r="C45" s="7" t="s">
        <v>63</v>
      </c>
      <c r="D45" s="7" t="s">
        <v>64</v>
      </c>
      <c r="E45" s="7" t="s">
        <v>68</v>
      </c>
      <c r="F45" s="7" t="n">
        <f aca="false">COUNTIFS(Rates_data!$B$2:$B$75,$A45,Rates_data!$D$2:$D$75,$B45,Rates_data!$E$2:$E$75,$C45,Rates_data!$G$2:$G$75,$E45,Rates_data!$Y$2:$Y$75,1)</f>
        <v>1</v>
      </c>
      <c r="G45" s="8" t="n">
        <f aca="false">_xlfn.MINIFS(Rates_data!$P$2:$P$75,Rates_data!$B$2:$B$75,$A45,Rates_data!$D$2:$D$75,$B45,Rates_data!$E$2:$E$75,$C45,Rates_data!$G$2:$G$75,$E45,Rates_data!$Y$2:$Y$75,1)</f>
        <v>362.41</v>
      </c>
      <c r="H45" s="8" t="n">
        <f aca="false" t="array" ref="H45:H45">MEDIAN(IF((Rates_data!$B$2:$B$75=$A45)*(Rates_data!$D$2:$D$75=$B45)*(Rates_data!$G$2:$G$75=$E45)*(Rates_data!$E$2:$E$75=$C45)*(Rates_data!$Y$2:$Y$75=1)*(Rates_data!$P$2:$P$75&lt;&gt;""),Rates_data!$P$2:$P$75))</f>
        <v>362.41</v>
      </c>
      <c r="I45" s="8" t="n">
        <f aca="false">_xlfn.MAXIFS(Rates_data!$P$2:$P$75,Rates_data!$B$2:$B$75,$A45,Rates_data!$D$2:$D$75,$B45,Rates_data!$E$2:$E$75,$C45,Rates_data!$G$2:$G$75,$E45,Rates_data!$Y$2:$Y$75,1)</f>
        <v>362.41</v>
      </c>
      <c r="J45" s="9" t="n">
        <f aca="false">IF(F45=0,"",SUMIFS(Rates_data!$R$2:$R$75,Rates_data!$B$2:$B$75,$A45,Rates_data!$D$2:$D$75,$B45,Rates_data!$E$2:$E$75,$C45,Rates_data!$G$2:$G$75,$E45,Rates_data!$Y$2:$Y$75,1)/F45)</f>
        <v>0</v>
      </c>
      <c r="K45" s="8" t="n">
        <f aca="false" t="array" ref="K45:K45">IF(COUNTIFS(Rates_data!$B$2:$B$75,$A45,Rates_data!$D$2:$D$75,$B45,Rates_data!$E$2:$E$75,$C45,Rates_data!$G$2:$G$75,$E45,Rates_data!$Y$2:$Y$75,1,Rates_data!$S$2:$S$75,"&lt;&gt;")=0,"",MEDIAN(IF((Rates_data!$B$2:$B$75=$A45)*(Rates_data!$D$2:$D$75=$B45)*(Rates_data!$G$2:$G$75=$E45)*(Rates_data!$E$2:$E$75=$C45)*(Rates_data!$Y$2:$Y$75=1)*(Rates_data!$S$2:$S$75&lt;&gt;""),Rates_data!$S$2:$S$75)))</f>
        <v>363.89</v>
      </c>
      <c r="L45" s="8" t="n">
        <f aca="false">IF(COUNTIFS(Rates_data!$B$2:$B$75,$A45,Rates_data!$D$2:$D$75,$B45,Rates_data!$E$2:$E$75,$C45,Rates_data!$G$2:$G$75,$E45,Rates_data!$Y$2:$Y$75,1,Rates_data!$T$2:$T$75,"&lt;&gt;")=0,"",_xlfn.MINIFS(Rates_data!$T$2:$T$75,Rates_data!$B$2:$B$75,$A45,Rates_data!$D$2:$D$75,$B45,Rates_data!$E$2:$E$75,$C45,Rates_data!$G$2:$G$75,$E45,Rates_data!$Y$2:$Y$75,1))</f>
        <v>363.89</v>
      </c>
      <c r="M45" s="8" t="n">
        <f aca="false">IF(COUNTIFS(Rates_data!$B$2:$B$75,$A45,Rates_data!$D$2:$D$75,$B45,Rates_data!$E$2:$E$75,$C45,Rates_data!$G$2:$G$75,$E45,Rates_data!$Y$2:$Y$75,1,Rates_data!$U$2:$U$75,"&lt;&gt;")=0,"",_xlfn.MAXIFS(Rates_data!$U$2:$U$75,Rates_data!$B$2:$B$75,$A45,Rates_data!$D$2:$D$75,$B45,Rates_data!$E$2:$E$75,$C45,Rates_data!$G$2:$G$75,$E45,Rates_data!$Y$2:$Y$75,1))</f>
        <v>363.89</v>
      </c>
      <c r="N45" s="7" t="s">
        <v>44</v>
      </c>
      <c r="O45" s="10" t="n">
        <f aca="false">IF(K45&lt;&gt;"",K45,H45)</f>
        <v>363.89</v>
      </c>
      <c r="P45" s="7" t="str">
        <f aca="false">IF(K45&lt;&gt;"","median allowed","median negotiated")</f>
        <v>median allowed</v>
      </c>
    </row>
    <row r="46" customFormat="false" ht="15" hidden="false" customHeight="false" outlineLevel="0" collapsed="false">
      <c r="A46" s="7" t="s">
        <v>79</v>
      </c>
      <c r="B46" s="7" t="s">
        <v>60</v>
      </c>
      <c r="C46" s="7" t="s">
        <v>69</v>
      </c>
      <c r="D46" s="7" t="s">
        <v>70</v>
      </c>
      <c r="E46" s="7" t="s">
        <v>68</v>
      </c>
      <c r="F46" s="7" t="n">
        <f aca="false">COUNTIFS(Rates_data!$B$2:$B$75,$A46,Rates_data!$D$2:$D$75,$B46,Rates_data!$E$2:$E$75,$C46,Rates_data!$G$2:$G$75,$E46,Rates_data!$Y$2:$Y$75,1)</f>
        <v>1</v>
      </c>
      <c r="G46" s="8" t="n">
        <f aca="false">_xlfn.MINIFS(Rates_data!$P$2:$P$75,Rates_data!$B$2:$B$75,$A46,Rates_data!$D$2:$D$75,$B46,Rates_data!$E$2:$E$75,$C46,Rates_data!$G$2:$G$75,$E46,Rates_data!$Y$2:$Y$75,1)</f>
        <v>369.81</v>
      </c>
      <c r="H46" s="8" t="n">
        <f aca="false" t="array" ref="H46:H46">MEDIAN(IF((Rates_data!$B$2:$B$75=$A46)*(Rates_data!$D$2:$D$75=$B46)*(Rates_data!$G$2:$G$75=$E46)*(Rates_data!$E$2:$E$75=$C46)*(Rates_data!$Y$2:$Y$75=1)*(Rates_data!$P$2:$P$75&lt;&gt;""),Rates_data!$P$2:$P$75))</f>
        <v>369.81</v>
      </c>
      <c r="I46" s="8" t="n">
        <f aca="false">_xlfn.MAXIFS(Rates_data!$P$2:$P$75,Rates_data!$B$2:$B$75,$A46,Rates_data!$D$2:$D$75,$B46,Rates_data!$E$2:$E$75,$C46,Rates_data!$G$2:$G$75,$E46,Rates_data!$Y$2:$Y$75,1)</f>
        <v>369.81</v>
      </c>
      <c r="J46" s="9" t="n">
        <f aca="false">IF(F46=0,"",SUMIFS(Rates_data!$R$2:$R$75,Rates_data!$B$2:$B$75,$A46,Rates_data!$D$2:$D$75,$B46,Rates_data!$E$2:$E$75,$C46,Rates_data!$G$2:$G$75,$E46,Rates_data!$Y$2:$Y$75,1)/F46)</f>
        <v>0</v>
      </c>
      <c r="K46" s="8" t="n">
        <f aca="false" t="array" ref="K46:K46">IF(COUNTIFS(Rates_data!$B$2:$B$75,$A46,Rates_data!$D$2:$D$75,$B46,Rates_data!$E$2:$E$75,$C46,Rates_data!$G$2:$G$75,$E46,Rates_data!$Y$2:$Y$75,1,Rates_data!$S$2:$S$75,"&lt;&gt;")=0,"",MEDIAN(IF((Rates_data!$B$2:$B$75=$A46)*(Rates_data!$D$2:$D$75=$B46)*(Rates_data!$G$2:$G$75=$E46)*(Rates_data!$E$2:$E$75=$C46)*(Rates_data!$Y$2:$Y$75=1)*(Rates_data!$S$2:$S$75&lt;&gt;""),Rates_data!$S$2:$S$75)))</f>
        <v>362.41</v>
      </c>
      <c r="L46" s="8" t="n">
        <f aca="false">IF(COUNTIFS(Rates_data!$B$2:$B$75,$A46,Rates_data!$D$2:$D$75,$B46,Rates_data!$E$2:$E$75,$C46,Rates_data!$G$2:$G$75,$E46,Rates_data!$Y$2:$Y$75,1,Rates_data!$T$2:$T$75,"&lt;&gt;")=0,"",_xlfn.MINIFS(Rates_data!$T$2:$T$75,Rates_data!$B$2:$B$75,$A46,Rates_data!$D$2:$D$75,$B46,Rates_data!$E$2:$E$75,$C46,Rates_data!$G$2:$G$75,$E46,Rates_data!$Y$2:$Y$75,1))</f>
        <v>362.41</v>
      </c>
      <c r="M46" s="8" t="n">
        <f aca="false">IF(COUNTIFS(Rates_data!$B$2:$B$75,$A46,Rates_data!$D$2:$D$75,$B46,Rates_data!$E$2:$E$75,$C46,Rates_data!$G$2:$G$75,$E46,Rates_data!$Y$2:$Y$75,1,Rates_data!$U$2:$U$75,"&lt;&gt;")=0,"",_xlfn.MAXIFS(Rates_data!$U$2:$U$75,Rates_data!$B$2:$B$75,$A46,Rates_data!$D$2:$D$75,$B46,Rates_data!$E$2:$E$75,$C46,Rates_data!$G$2:$G$75,$E46,Rates_data!$Y$2:$Y$75,1))</f>
        <v>362.41</v>
      </c>
      <c r="N46" s="7" t="s">
        <v>44</v>
      </c>
      <c r="O46" s="10" t="n">
        <f aca="false">IF(K46&lt;&gt;"",K46,H46)</f>
        <v>362.41</v>
      </c>
      <c r="P46" s="7" t="str">
        <f aca="false">IF(K46&lt;&gt;"","median allowed","median negotiated")</f>
        <v>median allowed</v>
      </c>
    </row>
    <row r="47" customFormat="false" ht="15" hidden="false" customHeight="false" outlineLevel="0" collapsed="false">
      <c r="A47" s="7" t="s">
        <v>79</v>
      </c>
      <c r="B47" s="7" t="s">
        <v>60</v>
      </c>
      <c r="C47" s="7" t="s">
        <v>88</v>
      </c>
      <c r="D47" s="7" t="s">
        <v>89</v>
      </c>
      <c r="E47" s="7" t="s">
        <v>68</v>
      </c>
      <c r="F47" s="7" t="n">
        <f aca="false">COUNTIFS(Rates_data!$B$2:$B$75,$A47,Rates_data!$D$2:$D$75,$B47,Rates_data!$E$2:$E$75,$C47,Rates_data!$G$2:$G$75,$E47,Rates_data!$Y$2:$Y$75,1)</f>
        <v>1</v>
      </c>
      <c r="G47" s="8" t="n">
        <f aca="false">_xlfn.MINIFS(Rates_data!$P$2:$P$75,Rates_data!$B$2:$B$75,$A47,Rates_data!$D$2:$D$75,$B47,Rates_data!$E$2:$E$75,$C47,Rates_data!$G$2:$G$75,$E47,Rates_data!$Y$2:$Y$75,1)</f>
        <v>369.81</v>
      </c>
      <c r="H47" s="8" t="n">
        <f aca="false" t="array" ref="H47:H47">MEDIAN(IF((Rates_data!$B$2:$B$75=$A47)*(Rates_data!$D$2:$D$75=$B47)*(Rates_data!$G$2:$G$75=$E47)*(Rates_data!$E$2:$E$75=$C47)*(Rates_data!$Y$2:$Y$75=1)*(Rates_data!$P$2:$P$75&lt;&gt;""),Rates_data!$P$2:$P$75))</f>
        <v>369.81</v>
      </c>
      <c r="I47" s="8" t="n">
        <f aca="false">_xlfn.MAXIFS(Rates_data!$P$2:$P$75,Rates_data!$B$2:$B$75,$A47,Rates_data!$D$2:$D$75,$B47,Rates_data!$E$2:$E$75,$C47,Rates_data!$G$2:$G$75,$E47,Rates_data!$Y$2:$Y$75,1)</f>
        <v>369.81</v>
      </c>
      <c r="J47" s="9" t="n">
        <f aca="false">IF(F47=0,"",SUMIFS(Rates_data!$R$2:$R$75,Rates_data!$B$2:$B$75,$A47,Rates_data!$D$2:$D$75,$B47,Rates_data!$E$2:$E$75,$C47,Rates_data!$G$2:$G$75,$E47,Rates_data!$Y$2:$Y$75,1)/F47)</f>
        <v>0</v>
      </c>
      <c r="K47" s="8" t="n">
        <f aca="false" t="array" ref="K47:K47">IF(COUNTIFS(Rates_data!$B$2:$B$75,$A47,Rates_data!$D$2:$D$75,$B47,Rates_data!$E$2:$E$75,$C47,Rates_data!$G$2:$G$75,$E47,Rates_data!$Y$2:$Y$75,1,Rates_data!$S$2:$S$75,"&lt;&gt;")=0,"",MEDIAN(IF((Rates_data!$B$2:$B$75=$A47)*(Rates_data!$D$2:$D$75=$B47)*(Rates_data!$G$2:$G$75=$E47)*(Rates_data!$E$2:$E$75=$C47)*(Rates_data!$Y$2:$Y$75=1)*(Rates_data!$S$2:$S$75&lt;&gt;""),Rates_data!$S$2:$S$75)))</f>
        <v>363.89</v>
      </c>
      <c r="L47" s="8" t="n">
        <f aca="false">IF(COUNTIFS(Rates_data!$B$2:$B$75,$A47,Rates_data!$D$2:$D$75,$B47,Rates_data!$E$2:$E$75,$C47,Rates_data!$G$2:$G$75,$E47,Rates_data!$Y$2:$Y$75,1,Rates_data!$T$2:$T$75,"&lt;&gt;")=0,"",_xlfn.MINIFS(Rates_data!$T$2:$T$75,Rates_data!$B$2:$B$75,$A47,Rates_data!$D$2:$D$75,$B47,Rates_data!$E$2:$E$75,$C47,Rates_data!$G$2:$G$75,$E47,Rates_data!$Y$2:$Y$75,1))</f>
        <v>363.89</v>
      </c>
      <c r="M47" s="8" t="n">
        <f aca="false">IF(COUNTIFS(Rates_data!$B$2:$B$75,$A47,Rates_data!$D$2:$D$75,$B47,Rates_data!$E$2:$E$75,$C47,Rates_data!$G$2:$G$75,$E47,Rates_data!$Y$2:$Y$75,1,Rates_data!$U$2:$U$75,"&lt;&gt;")=0,"",_xlfn.MAXIFS(Rates_data!$U$2:$U$75,Rates_data!$B$2:$B$75,$A47,Rates_data!$D$2:$D$75,$B47,Rates_data!$E$2:$E$75,$C47,Rates_data!$G$2:$G$75,$E47,Rates_data!$Y$2:$Y$75,1))</f>
        <v>363.89</v>
      </c>
      <c r="N47" s="7" t="s">
        <v>44</v>
      </c>
      <c r="O47" s="10" t="n">
        <f aca="false">IF(K47&lt;&gt;"",K47,H47)</f>
        <v>363.89</v>
      </c>
      <c r="P47" s="7" t="str">
        <f aca="false">IF(K47&lt;&gt;"","median allowed","median negotiated")</f>
        <v>median allowed</v>
      </c>
    </row>
    <row r="48" customFormat="false" ht="15" hidden="false" customHeight="false" outlineLevel="0" collapsed="false">
      <c r="A48" s="7" t="s">
        <v>79</v>
      </c>
      <c r="B48" s="7" t="s">
        <v>60</v>
      </c>
      <c r="C48" s="7" t="s">
        <v>71</v>
      </c>
      <c r="D48" s="7" t="s">
        <v>72</v>
      </c>
      <c r="E48" s="7" t="s">
        <v>68</v>
      </c>
      <c r="F48" s="7" t="n">
        <f aca="false">COUNTIFS(Rates_data!$B$2:$B$75,$A48,Rates_data!$D$2:$D$75,$B48,Rates_data!$E$2:$E$75,$C48,Rates_data!$G$2:$G$75,$E48,Rates_data!$Y$2:$Y$75,1)</f>
        <v>1</v>
      </c>
      <c r="G48" s="8" t="n">
        <f aca="false">_xlfn.MINIFS(Rates_data!$P$2:$P$75,Rates_data!$B$2:$B$75,$A48,Rates_data!$D$2:$D$75,$B48,Rates_data!$E$2:$E$75,$C48,Rates_data!$G$2:$G$75,$E48,Rates_data!$Y$2:$Y$75,1)</f>
        <v>362.41</v>
      </c>
      <c r="H48" s="8" t="n">
        <f aca="false" t="array" ref="H48:H48">MEDIAN(IF((Rates_data!$B$2:$B$75=$A48)*(Rates_data!$D$2:$D$75=$B48)*(Rates_data!$G$2:$G$75=$E48)*(Rates_data!$E$2:$E$75=$C48)*(Rates_data!$Y$2:$Y$75=1)*(Rates_data!$P$2:$P$75&lt;&gt;""),Rates_data!$P$2:$P$75))</f>
        <v>362.41</v>
      </c>
      <c r="I48" s="8" t="n">
        <f aca="false">_xlfn.MAXIFS(Rates_data!$P$2:$P$75,Rates_data!$B$2:$B$75,$A48,Rates_data!$D$2:$D$75,$B48,Rates_data!$E$2:$E$75,$C48,Rates_data!$G$2:$G$75,$E48,Rates_data!$Y$2:$Y$75,1)</f>
        <v>362.41</v>
      </c>
      <c r="J48" s="9" t="n">
        <f aca="false">IF(F48=0,"",SUMIFS(Rates_data!$R$2:$R$75,Rates_data!$B$2:$B$75,$A48,Rates_data!$D$2:$D$75,$B48,Rates_data!$E$2:$E$75,$C48,Rates_data!$G$2:$G$75,$E48,Rates_data!$Y$2:$Y$75,1)/F48)</f>
        <v>0</v>
      </c>
      <c r="K48" s="8" t="n">
        <f aca="false" t="array" ref="K48:K48">IF(COUNTIFS(Rates_data!$B$2:$B$75,$A48,Rates_data!$D$2:$D$75,$B48,Rates_data!$E$2:$E$75,$C48,Rates_data!$G$2:$G$75,$E48,Rates_data!$Y$2:$Y$75,1,Rates_data!$S$2:$S$75,"&lt;&gt;")=0,"",MEDIAN(IF((Rates_data!$B$2:$B$75=$A48)*(Rates_data!$D$2:$D$75=$B48)*(Rates_data!$G$2:$G$75=$E48)*(Rates_data!$E$2:$E$75=$C48)*(Rates_data!$Y$2:$Y$75=1)*(Rates_data!$S$2:$S$75&lt;&gt;""),Rates_data!$S$2:$S$75)))</f>
        <v>362.81</v>
      </c>
      <c r="L48" s="8" t="n">
        <f aca="false">IF(COUNTIFS(Rates_data!$B$2:$B$75,$A48,Rates_data!$D$2:$D$75,$B48,Rates_data!$E$2:$E$75,$C48,Rates_data!$G$2:$G$75,$E48,Rates_data!$Y$2:$Y$75,1,Rates_data!$T$2:$T$75,"&lt;&gt;")=0,"",_xlfn.MINIFS(Rates_data!$T$2:$T$75,Rates_data!$B$2:$B$75,$A48,Rates_data!$D$2:$D$75,$B48,Rates_data!$E$2:$E$75,$C48,Rates_data!$G$2:$G$75,$E48,Rates_data!$Y$2:$Y$75,1))</f>
        <v>362.61</v>
      </c>
      <c r="M48" s="8" t="n">
        <f aca="false">IF(COUNTIFS(Rates_data!$B$2:$B$75,$A48,Rates_data!$D$2:$D$75,$B48,Rates_data!$E$2:$E$75,$C48,Rates_data!$G$2:$G$75,$E48,Rates_data!$Y$2:$Y$75,1,Rates_data!$U$2:$U$75,"&lt;&gt;")=0,"",_xlfn.MAXIFS(Rates_data!$U$2:$U$75,Rates_data!$B$2:$B$75,$A48,Rates_data!$D$2:$D$75,$B48,Rates_data!$E$2:$E$75,$C48,Rates_data!$G$2:$G$75,$E48,Rates_data!$Y$2:$Y$75,1))</f>
        <v>363.01</v>
      </c>
      <c r="N48" s="7" t="s">
        <v>44</v>
      </c>
      <c r="O48" s="10" t="n">
        <f aca="false">IF(K48&lt;&gt;"",K48,H48)</f>
        <v>362.81</v>
      </c>
      <c r="P48" s="7" t="str">
        <f aca="false">IF(K48&lt;&gt;"","median allowed","median negotiated")</f>
        <v>median allowed</v>
      </c>
    </row>
    <row r="49" customFormat="false" ht="15" hidden="false" customHeight="false" outlineLevel="0" collapsed="false">
      <c r="A49" s="7" t="s">
        <v>79</v>
      </c>
      <c r="B49" s="7" t="s">
        <v>60</v>
      </c>
      <c r="C49" s="7" t="s">
        <v>41</v>
      </c>
      <c r="D49" s="7" t="s">
        <v>42</v>
      </c>
      <c r="E49" s="7" t="s">
        <v>68</v>
      </c>
      <c r="F49" s="7" t="n">
        <f aca="false">COUNTIFS(Rates_data!$B$2:$B$75,$A49,Rates_data!$D$2:$D$75,$B49,Rates_data!$E$2:$E$75,$C49,Rates_data!$G$2:$G$75,$E49,Rates_data!$Y$2:$Y$75,1)</f>
        <v>1</v>
      </c>
      <c r="G49" s="8" t="n">
        <f aca="false">_xlfn.MINIFS(Rates_data!$P$2:$P$75,Rates_data!$B$2:$B$75,$A49,Rates_data!$D$2:$D$75,$B49,Rates_data!$E$2:$E$75,$C49,Rates_data!$G$2:$G$75,$E49,Rates_data!$Y$2:$Y$75,1)</f>
        <v>362.41</v>
      </c>
      <c r="H49" s="8" t="n">
        <f aca="false" t="array" ref="H49:H49">MEDIAN(IF((Rates_data!$B$2:$B$75=$A49)*(Rates_data!$D$2:$D$75=$B49)*(Rates_data!$G$2:$G$75=$E49)*(Rates_data!$E$2:$E$75=$C49)*(Rates_data!$Y$2:$Y$75=1)*(Rates_data!$P$2:$P$75&lt;&gt;""),Rates_data!$P$2:$P$75))</f>
        <v>362.41</v>
      </c>
      <c r="I49" s="8" t="n">
        <f aca="false">_xlfn.MAXIFS(Rates_data!$P$2:$P$75,Rates_data!$B$2:$B$75,$A49,Rates_data!$D$2:$D$75,$B49,Rates_data!$E$2:$E$75,$C49,Rates_data!$G$2:$G$75,$E49,Rates_data!$Y$2:$Y$75,1)</f>
        <v>362.41</v>
      </c>
      <c r="J49" s="9" t="n">
        <f aca="false">IF(F49=0,"",SUMIFS(Rates_data!$R$2:$R$75,Rates_data!$B$2:$B$75,$A49,Rates_data!$D$2:$D$75,$B49,Rates_data!$E$2:$E$75,$C49,Rates_data!$G$2:$G$75,$E49,Rates_data!$Y$2:$Y$75,1)/F49)</f>
        <v>0</v>
      </c>
      <c r="K49" s="8" t="n">
        <f aca="false" t="array" ref="K49:K49">IF(COUNTIFS(Rates_data!$B$2:$B$75,$A49,Rates_data!$D$2:$D$75,$B49,Rates_data!$E$2:$E$75,$C49,Rates_data!$G$2:$G$75,$E49,Rates_data!$Y$2:$Y$75,1,Rates_data!$S$2:$S$75,"&lt;&gt;")=0,"",MEDIAN(IF((Rates_data!$B$2:$B$75=$A49)*(Rates_data!$D$2:$D$75=$B49)*(Rates_data!$G$2:$G$75=$E49)*(Rates_data!$E$2:$E$75=$C49)*(Rates_data!$Y$2:$Y$75=1)*(Rates_data!$S$2:$S$75&lt;&gt;""),Rates_data!$S$2:$S$75)))</f>
        <v>362.92</v>
      </c>
      <c r="L49" s="8" t="n">
        <f aca="false">IF(COUNTIFS(Rates_data!$B$2:$B$75,$A49,Rates_data!$D$2:$D$75,$B49,Rates_data!$E$2:$E$75,$C49,Rates_data!$G$2:$G$75,$E49,Rates_data!$Y$2:$Y$75,1,Rates_data!$T$2:$T$75,"&lt;&gt;")=0,"",_xlfn.MINIFS(Rates_data!$T$2:$T$75,Rates_data!$B$2:$B$75,$A49,Rates_data!$D$2:$D$75,$B49,Rates_data!$E$2:$E$75,$C49,Rates_data!$G$2:$G$75,$E49,Rates_data!$Y$2:$Y$75,1))</f>
        <v>337.09</v>
      </c>
      <c r="M49" s="8" t="n">
        <f aca="false">IF(COUNTIFS(Rates_data!$B$2:$B$75,$A49,Rates_data!$D$2:$D$75,$B49,Rates_data!$E$2:$E$75,$C49,Rates_data!$G$2:$G$75,$E49,Rates_data!$Y$2:$Y$75,1,Rates_data!$U$2:$U$75,"&lt;&gt;")=0,"",_xlfn.MAXIFS(Rates_data!$U$2:$U$75,Rates_data!$B$2:$B$75,$A49,Rates_data!$D$2:$D$75,$B49,Rates_data!$E$2:$E$75,$C49,Rates_data!$G$2:$G$75,$E49,Rates_data!$Y$2:$Y$75,1))</f>
        <v>363.42</v>
      </c>
      <c r="N49" s="7" t="s">
        <v>87</v>
      </c>
      <c r="O49" s="10" t="n">
        <f aca="false">IF(K49&lt;&gt;"",K49,H49)</f>
        <v>362.92</v>
      </c>
      <c r="P49" s="7" t="str">
        <f aca="false">IF(K49&lt;&gt;"","median allowed","median negotiated")</f>
        <v>median allowed</v>
      </c>
    </row>
    <row r="50" customFormat="false" ht="15" hidden="false" customHeight="false" outlineLevel="0" collapsed="false">
      <c r="A50" s="7" t="s">
        <v>79</v>
      </c>
      <c r="B50" s="7" t="s">
        <v>60</v>
      </c>
      <c r="C50" s="7" t="s">
        <v>73</v>
      </c>
      <c r="D50" s="7" t="s">
        <v>74</v>
      </c>
      <c r="E50" s="7" t="s">
        <v>75</v>
      </c>
      <c r="F50" s="7" t="n">
        <f aca="false">COUNTIFS(Rates_data!$B$2:$B$75,$A50,Rates_data!$D$2:$D$75,$B50,Rates_data!$E$2:$E$75,$C50,Rates_data!$G$2:$G$75,$E50,Rates_data!$Y$2:$Y$75,1)</f>
        <v>1</v>
      </c>
      <c r="G50" s="8" t="n">
        <f aca="false">_xlfn.MINIFS(Rates_data!$P$2:$P$75,Rates_data!$B$2:$B$75,$A50,Rates_data!$D$2:$D$75,$B50,Rates_data!$E$2:$E$75,$C50,Rates_data!$G$2:$G$75,$E50,Rates_data!$Y$2:$Y$75,1)</f>
        <v>369.81</v>
      </c>
      <c r="H50" s="8" t="n">
        <f aca="false" t="array" ref="H50:H50">MEDIAN(IF((Rates_data!$B$2:$B$75=$A50)*(Rates_data!$D$2:$D$75=$B50)*(Rates_data!$G$2:$G$75=$E50)*(Rates_data!$E$2:$E$75=$C50)*(Rates_data!$Y$2:$Y$75=1)*(Rates_data!$P$2:$P$75&lt;&gt;""),Rates_data!$P$2:$P$75))</f>
        <v>369.81</v>
      </c>
      <c r="I50" s="8" t="n">
        <f aca="false">_xlfn.MAXIFS(Rates_data!$P$2:$P$75,Rates_data!$B$2:$B$75,$A50,Rates_data!$D$2:$D$75,$B50,Rates_data!$E$2:$E$75,$C50,Rates_data!$G$2:$G$75,$E50,Rates_data!$Y$2:$Y$75,1)</f>
        <v>369.81</v>
      </c>
      <c r="J50" s="9" t="n">
        <f aca="false">IF(F50=0,"",SUMIFS(Rates_data!$R$2:$R$75,Rates_data!$B$2:$B$75,$A50,Rates_data!$D$2:$D$75,$B50,Rates_data!$E$2:$E$75,$C50,Rates_data!$G$2:$G$75,$E50,Rates_data!$Y$2:$Y$75,1)/F50)</f>
        <v>0</v>
      </c>
      <c r="K50" s="8" t="n">
        <f aca="false" t="array" ref="K50:K50">IF(COUNTIFS(Rates_data!$B$2:$B$75,$A50,Rates_data!$D$2:$D$75,$B50,Rates_data!$E$2:$E$75,$C50,Rates_data!$G$2:$G$75,$E50,Rates_data!$Y$2:$Y$75,1,Rates_data!$S$2:$S$75,"&lt;&gt;")=0,"",MEDIAN(IF((Rates_data!$B$2:$B$75=$A50)*(Rates_data!$D$2:$D$75=$B50)*(Rates_data!$G$2:$G$75=$E50)*(Rates_data!$E$2:$E$75=$C50)*(Rates_data!$Y$2:$Y$75=1)*(Rates_data!$S$2:$S$75&lt;&gt;""),Rates_data!$S$2:$S$75)))</f>
        <v>369.81</v>
      </c>
      <c r="L50" s="8" t="n">
        <f aca="false">IF(COUNTIFS(Rates_data!$B$2:$B$75,$A50,Rates_data!$D$2:$D$75,$B50,Rates_data!$E$2:$E$75,$C50,Rates_data!$G$2:$G$75,$E50,Rates_data!$Y$2:$Y$75,1,Rates_data!$T$2:$T$75,"&lt;&gt;")=0,"",_xlfn.MINIFS(Rates_data!$T$2:$T$75,Rates_data!$B$2:$B$75,$A50,Rates_data!$D$2:$D$75,$B50,Rates_data!$E$2:$E$75,$C50,Rates_data!$G$2:$G$75,$E50,Rates_data!$Y$2:$Y$75,1))</f>
        <v>342.57</v>
      </c>
      <c r="M50" s="8" t="n">
        <f aca="false">IF(COUNTIFS(Rates_data!$B$2:$B$75,$A50,Rates_data!$D$2:$D$75,$B50,Rates_data!$E$2:$E$75,$C50,Rates_data!$G$2:$G$75,$E50,Rates_data!$Y$2:$Y$75,1,Rates_data!$U$2:$U$75,"&lt;&gt;")=0,"",_xlfn.MAXIFS(Rates_data!$U$2:$U$75,Rates_data!$B$2:$B$75,$A50,Rates_data!$D$2:$D$75,$B50,Rates_data!$E$2:$E$75,$C50,Rates_data!$G$2:$G$75,$E50,Rates_data!$Y$2:$Y$75,1))</f>
        <v>369.81</v>
      </c>
      <c r="N50" s="7" t="s">
        <v>90</v>
      </c>
      <c r="O50" s="10" t="n">
        <f aca="false">IF(K50&lt;&gt;"",K50,H50)</f>
        <v>369.81</v>
      </c>
      <c r="P50" s="7" t="str">
        <f aca="false">IF(K50&lt;&gt;"","median allowed","median negotiated")</f>
        <v>median allowed</v>
      </c>
    </row>
    <row r="51" customFormat="false" ht="15" hidden="false" customHeight="false" outlineLevel="0" collapsed="false">
      <c r="A51" s="7" t="s">
        <v>79</v>
      </c>
      <c r="B51" s="7" t="s">
        <v>60</v>
      </c>
      <c r="C51" s="7" t="s">
        <v>77</v>
      </c>
      <c r="D51" s="7" t="s">
        <v>78</v>
      </c>
      <c r="E51" s="7" t="s">
        <v>78</v>
      </c>
      <c r="F51" s="7" t="n">
        <f aca="false">COUNTIFS(Rates_data!$B$2:$B$75,$A51,Rates_data!$D$2:$D$75,$B51,Rates_data!$E$2:$E$75,$C51,Rates_data!$G$2:$G$75,$E51,Rates_data!$Y$2:$Y$75,1)</f>
        <v>1</v>
      </c>
      <c r="G51" s="8" t="n">
        <f aca="false">_xlfn.MINIFS(Rates_data!$P$2:$P$75,Rates_data!$B$2:$B$75,$A51,Rates_data!$D$2:$D$75,$B51,Rates_data!$E$2:$E$75,$C51,Rates_data!$G$2:$G$75,$E51,Rates_data!$Y$2:$Y$75,1)</f>
        <v>351.32</v>
      </c>
      <c r="H51" s="8" t="n">
        <f aca="false" t="array" ref="H51:H51">MEDIAN(IF((Rates_data!$B$2:$B$75=$A51)*(Rates_data!$D$2:$D$75=$B51)*(Rates_data!$G$2:$G$75=$E51)*(Rates_data!$E$2:$E$75=$C51)*(Rates_data!$Y$2:$Y$75=1)*(Rates_data!$P$2:$P$75&lt;&gt;""),Rates_data!$P$2:$P$75))</f>
        <v>351.32</v>
      </c>
      <c r="I51" s="8" t="n">
        <f aca="false">_xlfn.MAXIFS(Rates_data!$P$2:$P$75,Rates_data!$B$2:$B$75,$A51,Rates_data!$D$2:$D$75,$B51,Rates_data!$E$2:$E$75,$C51,Rates_data!$G$2:$G$75,$E51,Rates_data!$Y$2:$Y$75,1)</f>
        <v>351.32</v>
      </c>
      <c r="J51" s="9" t="n">
        <f aca="false">IF(F51=0,"",SUMIFS(Rates_data!$R$2:$R$75,Rates_data!$B$2:$B$75,$A51,Rates_data!$D$2:$D$75,$B51,Rates_data!$E$2:$E$75,$C51,Rates_data!$G$2:$G$75,$E51,Rates_data!$Y$2:$Y$75,1)/F51)</f>
        <v>0</v>
      </c>
      <c r="K51" s="8" t="n">
        <f aca="false" t="array" ref="K51:K51">IF(COUNTIFS(Rates_data!$B$2:$B$75,$A51,Rates_data!$D$2:$D$75,$B51,Rates_data!$E$2:$E$75,$C51,Rates_data!$G$2:$G$75,$E51,Rates_data!$Y$2:$Y$75,1,Rates_data!$S$2:$S$75,"&lt;&gt;")=0,"",MEDIAN(IF((Rates_data!$B$2:$B$75=$A51)*(Rates_data!$D$2:$D$75=$B51)*(Rates_data!$G$2:$G$75=$E51)*(Rates_data!$E$2:$E$75=$C51)*(Rates_data!$Y$2:$Y$75=1)*(Rates_data!$S$2:$S$75&lt;&gt;""),Rates_data!$S$2:$S$75)))</f>
        <v>351.32</v>
      </c>
      <c r="L51" s="8" t="n">
        <f aca="false">IF(COUNTIFS(Rates_data!$B$2:$B$75,$A51,Rates_data!$D$2:$D$75,$B51,Rates_data!$E$2:$E$75,$C51,Rates_data!$G$2:$G$75,$E51,Rates_data!$Y$2:$Y$75,1,Rates_data!$T$2:$T$75,"&lt;&gt;")=0,"",_xlfn.MINIFS(Rates_data!$T$2:$T$75,Rates_data!$B$2:$B$75,$A51,Rates_data!$D$2:$D$75,$B51,Rates_data!$E$2:$E$75,$C51,Rates_data!$G$2:$G$75,$E51,Rates_data!$Y$2:$Y$75,1))</f>
        <v>351.32</v>
      </c>
      <c r="M51" s="8" t="n">
        <f aca="false">IF(COUNTIFS(Rates_data!$B$2:$B$75,$A51,Rates_data!$D$2:$D$75,$B51,Rates_data!$E$2:$E$75,$C51,Rates_data!$G$2:$G$75,$E51,Rates_data!$Y$2:$Y$75,1,Rates_data!$U$2:$U$75,"&lt;&gt;")=0,"",_xlfn.MAXIFS(Rates_data!$U$2:$U$75,Rates_data!$B$2:$B$75,$A51,Rates_data!$D$2:$D$75,$B51,Rates_data!$E$2:$E$75,$C51,Rates_data!$G$2:$G$75,$E51,Rates_data!$Y$2:$Y$75,1))</f>
        <v>351.32</v>
      </c>
      <c r="N51" s="7" t="s">
        <v>44</v>
      </c>
      <c r="O51" s="10" t="n">
        <f aca="false">IF(K51&lt;&gt;"",K51,H51)</f>
        <v>351.32</v>
      </c>
      <c r="P51" s="7" t="str">
        <f aca="false">IF(K51&lt;&gt;"","median allowed","median negotiated")</f>
        <v>median allowed</v>
      </c>
    </row>
    <row r="52" customFormat="false" ht="15" hidden="false" customHeight="false" outlineLevel="0" collapsed="false">
      <c r="A52" s="7" t="s">
        <v>91</v>
      </c>
      <c r="B52" s="7" t="s">
        <v>92</v>
      </c>
      <c r="C52" s="7" t="s">
        <v>93</v>
      </c>
      <c r="D52" s="7" t="s">
        <v>67</v>
      </c>
      <c r="E52" s="7" t="s">
        <v>43</v>
      </c>
      <c r="F52" s="7" t="n">
        <f aca="false">COUNTIFS(Rates_data!$B$2:$B$75,$A52,Rates_data!$D$2:$D$75,$B52,Rates_data!$E$2:$E$75,$C52,Rates_data!$G$2:$G$75,$E52,Rates_data!$Y$2:$Y$75,1)</f>
        <v>2</v>
      </c>
      <c r="G52" s="8" t="n">
        <f aca="false">_xlfn.MINIFS(Rates_data!$P$2:$P$75,Rates_data!$B$2:$B$75,$A52,Rates_data!$D$2:$D$75,$B52,Rates_data!$E$2:$E$75,$C52,Rates_data!$G$2:$G$75,$E52,Rates_data!$Y$2:$Y$75,1)</f>
        <v>1091.24</v>
      </c>
      <c r="H52" s="8" t="n">
        <f aca="false" t="array" ref="H52:H52">MEDIAN(IF((Rates_data!$B$2:$B$75=$A52)*(Rates_data!$D$2:$D$75=$B52)*(Rates_data!$G$2:$G$75=$E52)*(Rates_data!$E$2:$E$75=$C52)*(Rates_data!$Y$2:$Y$75=1)*(Rates_data!$P$2:$P$75&lt;&gt;""),Rates_data!$P$2:$P$75))</f>
        <v>1116.23</v>
      </c>
      <c r="I52" s="8" t="n">
        <f aca="false">_xlfn.MAXIFS(Rates_data!$P$2:$P$75,Rates_data!$B$2:$B$75,$A52,Rates_data!$D$2:$D$75,$B52,Rates_data!$E$2:$E$75,$C52,Rates_data!$G$2:$G$75,$E52,Rates_data!$Y$2:$Y$75,1)</f>
        <v>1141.22</v>
      </c>
      <c r="J52" s="9" t="n">
        <f aca="false">IF(F52=0,"",SUMIFS(Rates_data!$R$2:$R$75,Rates_data!$B$2:$B$75,$A52,Rates_data!$D$2:$D$75,$B52,Rates_data!$E$2:$E$75,$C52,Rates_data!$G$2:$G$75,$E52,Rates_data!$Y$2:$Y$75,1)/F52)</f>
        <v>0</v>
      </c>
      <c r="K52" s="8" t="str">
        <f aca="false" t="array" ref="K52:K52">IF(COUNTIFS(Rates_data!$B$2:$B$75,$A52,Rates_data!$D$2:$D$75,$B52,Rates_data!$E$2:$E$75,$C52,Rates_data!$G$2:$G$75,$E52,Rates_data!$Y$2:$Y$75,1,Rates_data!$S$2:$S$75,"&lt;&gt;")=0,"",MEDIAN(IF((Rates_data!$B$2:$B$75=$A52)*(Rates_data!$D$2:$D$75=$B52)*(Rates_data!$G$2:$G$75=$E52)*(Rates_data!$E$2:$E$75=$C52)*(Rates_data!$Y$2:$Y$75=1)*(Rates_data!$S$2:$S$75&lt;&gt;""),Rates_data!$S$2:$S$75)))</f>
        <v/>
      </c>
      <c r="L52" s="8" t="str">
        <f aca="false">IF(COUNTIFS(Rates_data!$B$2:$B$75,$A52,Rates_data!$D$2:$D$75,$B52,Rates_data!$E$2:$E$75,$C52,Rates_data!$G$2:$G$75,$E52,Rates_data!$Y$2:$Y$75,1,Rates_data!$T$2:$T$75,"&lt;&gt;")=0,"",_xlfn.MINIFS(Rates_data!$T$2:$T$75,Rates_data!$B$2:$B$75,$A52,Rates_data!$D$2:$D$75,$B52,Rates_data!$E$2:$E$75,$C52,Rates_data!$G$2:$G$75,$E52,Rates_data!$Y$2:$Y$75,1))</f>
        <v/>
      </c>
      <c r="M52" s="8" t="str">
        <f aca="false">IF(COUNTIFS(Rates_data!$B$2:$B$75,$A52,Rates_data!$D$2:$D$75,$B52,Rates_data!$E$2:$E$75,$C52,Rates_data!$G$2:$G$75,$E52,Rates_data!$Y$2:$Y$75,1,Rates_data!$U$2:$U$75,"&lt;&gt;")=0,"",_xlfn.MAXIFS(Rates_data!$U$2:$U$75,Rates_data!$B$2:$B$75,$A52,Rates_data!$D$2:$D$75,$B52,Rates_data!$E$2:$E$75,$C52,Rates_data!$G$2:$G$75,$E52,Rates_data!$Y$2:$Y$75,1))</f>
        <v/>
      </c>
      <c r="N52" s="7"/>
      <c r="O52" s="10" t="n">
        <f aca="false">IF(K52&lt;&gt;"",K52,H52)</f>
        <v>1116.23</v>
      </c>
      <c r="P52" s="7" t="str">
        <f aca="false">IF(K52&lt;&gt;"","median allowed","median negotiated")</f>
        <v>median negotiated</v>
      </c>
    </row>
    <row r="53" customFormat="false" ht="15" hidden="false" customHeight="false" outlineLevel="0" collapsed="false">
      <c r="A53" s="7" t="s">
        <v>91</v>
      </c>
      <c r="B53" s="7" t="s">
        <v>92</v>
      </c>
      <c r="C53" s="7" t="s">
        <v>94</v>
      </c>
      <c r="D53" s="7" t="s">
        <v>95</v>
      </c>
      <c r="E53" s="7" t="s">
        <v>43</v>
      </c>
      <c r="F53" s="7" t="n">
        <f aca="false">COUNTIFS(Rates_data!$B$2:$B$75,$A53,Rates_data!$D$2:$D$75,$B53,Rates_data!$E$2:$E$75,$C53,Rates_data!$G$2:$G$75,$E53,Rates_data!$Y$2:$Y$75,1)</f>
        <v>1</v>
      </c>
      <c r="G53" s="8" t="n">
        <f aca="false">_xlfn.MINIFS(Rates_data!$P$2:$P$75,Rates_data!$B$2:$B$75,$A53,Rates_data!$D$2:$D$75,$B53,Rates_data!$E$2:$E$75,$C53,Rates_data!$G$2:$G$75,$E53,Rates_data!$Y$2:$Y$75,1)</f>
        <v>1329.39</v>
      </c>
      <c r="H53" s="8" t="n">
        <f aca="false" t="array" ref="H53:H53">MEDIAN(IF((Rates_data!$B$2:$B$75=$A53)*(Rates_data!$D$2:$D$75=$B53)*(Rates_data!$G$2:$G$75=$E53)*(Rates_data!$E$2:$E$75=$C53)*(Rates_data!$Y$2:$Y$75=1)*(Rates_data!$P$2:$P$75&lt;&gt;""),Rates_data!$P$2:$P$75))</f>
        <v>1329.39</v>
      </c>
      <c r="I53" s="8" t="n">
        <f aca="false">_xlfn.MAXIFS(Rates_data!$P$2:$P$75,Rates_data!$B$2:$B$75,$A53,Rates_data!$D$2:$D$75,$B53,Rates_data!$E$2:$E$75,$C53,Rates_data!$G$2:$G$75,$E53,Rates_data!$Y$2:$Y$75,1)</f>
        <v>1329.39</v>
      </c>
      <c r="J53" s="9" t="n">
        <f aca="false">IF(F53=0,"",SUMIFS(Rates_data!$R$2:$R$75,Rates_data!$B$2:$B$75,$A53,Rates_data!$D$2:$D$75,$B53,Rates_data!$E$2:$E$75,$C53,Rates_data!$G$2:$G$75,$E53,Rates_data!$Y$2:$Y$75,1)/F53)</f>
        <v>0</v>
      </c>
      <c r="K53" s="8" t="str">
        <f aca="false" t="array" ref="K53:K53">IF(COUNTIFS(Rates_data!$B$2:$B$75,$A53,Rates_data!$D$2:$D$75,$B53,Rates_data!$E$2:$E$75,$C53,Rates_data!$G$2:$G$75,$E53,Rates_data!$Y$2:$Y$75,1,Rates_data!$S$2:$S$75,"&lt;&gt;")=0,"",MEDIAN(IF((Rates_data!$B$2:$B$75=$A53)*(Rates_data!$D$2:$D$75=$B53)*(Rates_data!$G$2:$G$75=$E53)*(Rates_data!$E$2:$E$75=$C53)*(Rates_data!$Y$2:$Y$75=1)*(Rates_data!$S$2:$S$75&lt;&gt;""),Rates_data!$S$2:$S$75)))</f>
        <v/>
      </c>
      <c r="L53" s="8" t="str">
        <f aca="false">IF(COUNTIFS(Rates_data!$B$2:$B$75,$A53,Rates_data!$D$2:$D$75,$B53,Rates_data!$E$2:$E$75,$C53,Rates_data!$G$2:$G$75,$E53,Rates_data!$Y$2:$Y$75,1,Rates_data!$T$2:$T$75,"&lt;&gt;")=0,"",_xlfn.MINIFS(Rates_data!$T$2:$T$75,Rates_data!$B$2:$B$75,$A53,Rates_data!$D$2:$D$75,$B53,Rates_data!$E$2:$E$75,$C53,Rates_data!$G$2:$G$75,$E53,Rates_data!$Y$2:$Y$75,1))</f>
        <v/>
      </c>
      <c r="M53" s="8" t="str">
        <f aca="false">IF(COUNTIFS(Rates_data!$B$2:$B$75,$A53,Rates_data!$D$2:$D$75,$B53,Rates_data!$E$2:$E$75,$C53,Rates_data!$G$2:$G$75,$E53,Rates_data!$Y$2:$Y$75,1,Rates_data!$U$2:$U$75,"&lt;&gt;")=0,"",_xlfn.MAXIFS(Rates_data!$U$2:$U$75,Rates_data!$B$2:$B$75,$A53,Rates_data!$D$2:$D$75,$B53,Rates_data!$E$2:$E$75,$C53,Rates_data!$G$2:$G$75,$E53,Rates_data!$Y$2:$Y$75,1))</f>
        <v/>
      </c>
      <c r="N53" s="7"/>
      <c r="O53" s="10" t="n">
        <f aca="false">IF(K53&lt;&gt;"",K53,H53)</f>
        <v>1329.39</v>
      </c>
      <c r="P53" s="7" t="str">
        <f aca="false">IF(K53&lt;&gt;"","median allowed","median negotiated")</f>
        <v>median negotiated</v>
      </c>
    </row>
    <row r="54" customFormat="false" ht="15" hidden="false" customHeight="false" outlineLevel="0" collapsed="false">
      <c r="A54" s="7" t="s">
        <v>91</v>
      </c>
      <c r="B54" s="7" t="s">
        <v>92</v>
      </c>
      <c r="C54" s="7" t="s">
        <v>96</v>
      </c>
      <c r="D54" s="7" t="s">
        <v>97</v>
      </c>
      <c r="E54" s="7" t="s">
        <v>43</v>
      </c>
      <c r="F54" s="7" t="n">
        <f aca="false">COUNTIFS(Rates_data!$B$2:$B$75,$A54,Rates_data!$D$2:$D$75,$B54,Rates_data!$E$2:$E$75,$C54,Rates_data!$G$2:$G$75,$E54,Rates_data!$Y$2:$Y$75,1)</f>
        <v>1</v>
      </c>
      <c r="G54" s="8" t="n">
        <f aca="false">_xlfn.MINIFS(Rates_data!$P$2:$P$75,Rates_data!$B$2:$B$75,$A54,Rates_data!$D$2:$D$75,$B54,Rates_data!$E$2:$E$75,$C54,Rates_data!$G$2:$G$75,$E54,Rates_data!$Y$2:$Y$75,1)</f>
        <v>502.78</v>
      </c>
      <c r="H54" s="8" t="n">
        <f aca="false" t="array" ref="H54:H54">MEDIAN(IF((Rates_data!$B$2:$B$75=$A54)*(Rates_data!$D$2:$D$75=$B54)*(Rates_data!$G$2:$G$75=$E54)*(Rates_data!$E$2:$E$75=$C54)*(Rates_data!$Y$2:$Y$75=1)*(Rates_data!$P$2:$P$75&lt;&gt;""),Rates_data!$P$2:$P$75))</f>
        <v>502.78</v>
      </c>
      <c r="I54" s="8" t="n">
        <f aca="false">_xlfn.MAXIFS(Rates_data!$P$2:$P$75,Rates_data!$B$2:$B$75,$A54,Rates_data!$D$2:$D$75,$B54,Rates_data!$E$2:$E$75,$C54,Rates_data!$G$2:$G$75,$E54,Rates_data!$Y$2:$Y$75,1)</f>
        <v>502.78</v>
      </c>
      <c r="J54" s="9" t="n">
        <f aca="false">IF(F54=0,"",SUMIFS(Rates_data!$R$2:$R$75,Rates_data!$B$2:$B$75,$A54,Rates_data!$D$2:$D$75,$B54,Rates_data!$E$2:$E$75,$C54,Rates_data!$G$2:$G$75,$E54,Rates_data!$Y$2:$Y$75,1)/F54)</f>
        <v>0</v>
      </c>
      <c r="K54" s="8" t="str">
        <f aca="false" t="array" ref="K54:K54">IF(COUNTIFS(Rates_data!$B$2:$B$75,$A54,Rates_data!$D$2:$D$75,$B54,Rates_data!$E$2:$E$75,$C54,Rates_data!$G$2:$G$75,$E54,Rates_data!$Y$2:$Y$75,1,Rates_data!$S$2:$S$75,"&lt;&gt;")=0,"",MEDIAN(IF((Rates_data!$B$2:$B$75=$A54)*(Rates_data!$D$2:$D$75=$B54)*(Rates_data!$G$2:$G$75=$E54)*(Rates_data!$E$2:$E$75=$C54)*(Rates_data!$Y$2:$Y$75=1)*(Rates_data!$S$2:$S$75&lt;&gt;""),Rates_data!$S$2:$S$75)))</f>
        <v/>
      </c>
      <c r="L54" s="8" t="str">
        <f aca="false">IF(COUNTIFS(Rates_data!$B$2:$B$75,$A54,Rates_data!$D$2:$D$75,$B54,Rates_data!$E$2:$E$75,$C54,Rates_data!$G$2:$G$75,$E54,Rates_data!$Y$2:$Y$75,1,Rates_data!$T$2:$T$75,"&lt;&gt;")=0,"",_xlfn.MINIFS(Rates_data!$T$2:$T$75,Rates_data!$B$2:$B$75,$A54,Rates_data!$D$2:$D$75,$B54,Rates_data!$E$2:$E$75,$C54,Rates_data!$G$2:$G$75,$E54,Rates_data!$Y$2:$Y$75,1))</f>
        <v/>
      </c>
      <c r="M54" s="8" t="str">
        <f aca="false">IF(COUNTIFS(Rates_data!$B$2:$B$75,$A54,Rates_data!$D$2:$D$75,$B54,Rates_data!$E$2:$E$75,$C54,Rates_data!$G$2:$G$75,$E54,Rates_data!$Y$2:$Y$75,1,Rates_data!$U$2:$U$75,"&lt;&gt;")=0,"",_xlfn.MAXIFS(Rates_data!$U$2:$U$75,Rates_data!$B$2:$B$75,$A54,Rates_data!$D$2:$D$75,$B54,Rates_data!$E$2:$E$75,$C54,Rates_data!$G$2:$G$75,$E54,Rates_data!$Y$2:$Y$75,1))</f>
        <v/>
      </c>
      <c r="N54" s="7"/>
      <c r="O54" s="10" t="n">
        <f aca="false">IF(K54&lt;&gt;"",K54,H54)</f>
        <v>502.78</v>
      </c>
      <c r="P54" s="7" t="str">
        <f aca="false">IF(K54&lt;&gt;"","median allowed","median negotiated")</f>
        <v>median negotiated</v>
      </c>
    </row>
    <row r="55" customFormat="false" ht="15" hidden="false" customHeight="false" outlineLevel="0" collapsed="false">
      <c r="A55" s="7" t="s">
        <v>91</v>
      </c>
      <c r="B55" s="7" t="s">
        <v>40</v>
      </c>
      <c r="C55" s="7" t="s">
        <v>93</v>
      </c>
      <c r="D55" s="7" t="s">
        <v>67</v>
      </c>
      <c r="E55" s="7" t="s">
        <v>43</v>
      </c>
      <c r="F55" s="7" t="n">
        <f aca="false">COUNTIFS(Rates_data!$B$2:$B$75,$A55,Rates_data!$D$2:$D$75,$B55,Rates_data!$E$2:$E$75,$C55,Rates_data!$G$2:$G$75,$E55,Rates_data!$Y$2:$Y$75,1)</f>
        <v>2</v>
      </c>
      <c r="G55" s="8" t="n">
        <f aca="false">_xlfn.MINIFS(Rates_data!$P$2:$P$75,Rates_data!$B$2:$B$75,$A55,Rates_data!$D$2:$D$75,$B55,Rates_data!$E$2:$E$75,$C55,Rates_data!$G$2:$G$75,$E55,Rates_data!$Y$2:$Y$75,1)</f>
        <v>325.87</v>
      </c>
      <c r="H55" s="8" t="n">
        <f aca="false" t="array" ref="H55:H55">MEDIAN(IF((Rates_data!$B$2:$B$75=$A55)*(Rates_data!$D$2:$D$75=$B55)*(Rates_data!$G$2:$G$75=$E55)*(Rates_data!$E$2:$E$75=$C55)*(Rates_data!$Y$2:$Y$75=1)*(Rates_data!$P$2:$P$75&lt;&gt;""),Rates_data!$P$2:$P$75))</f>
        <v>333.33</v>
      </c>
      <c r="I55" s="8" t="n">
        <f aca="false">_xlfn.MAXIFS(Rates_data!$P$2:$P$75,Rates_data!$B$2:$B$75,$A55,Rates_data!$D$2:$D$75,$B55,Rates_data!$E$2:$E$75,$C55,Rates_data!$G$2:$G$75,$E55,Rates_data!$Y$2:$Y$75,1)</f>
        <v>340.79</v>
      </c>
      <c r="J55" s="9" t="n">
        <f aca="false">IF(F55=0,"",SUMIFS(Rates_data!$R$2:$R$75,Rates_data!$B$2:$B$75,$A55,Rates_data!$D$2:$D$75,$B55,Rates_data!$E$2:$E$75,$C55,Rates_data!$G$2:$G$75,$E55,Rates_data!$Y$2:$Y$75,1)/F55)</f>
        <v>0</v>
      </c>
      <c r="K55" s="8" t="str">
        <f aca="false" t="array" ref="K55:K55">IF(COUNTIFS(Rates_data!$B$2:$B$75,$A55,Rates_data!$D$2:$D$75,$B55,Rates_data!$E$2:$E$75,$C55,Rates_data!$G$2:$G$75,$E55,Rates_data!$Y$2:$Y$75,1,Rates_data!$S$2:$S$75,"&lt;&gt;")=0,"",MEDIAN(IF((Rates_data!$B$2:$B$75=$A55)*(Rates_data!$D$2:$D$75=$B55)*(Rates_data!$G$2:$G$75=$E55)*(Rates_data!$E$2:$E$75=$C55)*(Rates_data!$Y$2:$Y$75=1)*(Rates_data!$S$2:$S$75&lt;&gt;""),Rates_data!$S$2:$S$75)))</f>
        <v/>
      </c>
      <c r="L55" s="8" t="str">
        <f aca="false">IF(COUNTIFS(Rates_data!$B$2:$B$75,$A55,Rates_data!$D$2:$D$75,$B55,Rates_data!$E$2:$E$75,$C55,Rates_data!$G$2:$G$75,$E55,Rates_data!$Y$2:$Y$75,1,Rates_data!$T$2:$T$75,"&lt;&gt;")=0,"",_xlfn.MINIFS(Rates_data!$T$2:$T$75,Rates_data!$B$2:$B$75,$A55,Rates_data!$D$2:$D$75,$B55,Rates_data!$E$2:$E$75,$C55,Rates_data!$G$2:$G$75,$E55,Rates_data!$Y$2:$Y$75,1))</f>
        <v/>
      </c>
      <c r="M55" s="8" t="str">
        <f aca="false">IF(COUNTIFS(Rates_data!$B$2:$B$75,$A55,Rates_data!$D$2:$D$75,$B55,Rates_data!$E$2:$E$75,$C55,Rates_data!$G$2:$G$75,$E55,Rates_data!$Y$2:$Y$75,1,Rates_data!$U$2:$U$75,"&lt;&gt;")=0,"",_xlfn.MAXIFS(Rates_data!$U$2:$U$75,Rates_data!$B$2:$B$75,$A55,Rates_data!$D$2:$D$75,$B55,Rates_data!$E$2:$E$75,$C55,Rates_data!$G$2:$G$75,$E55,Rates_data!$Y$2:$Y$75,1))</f>
        <v/>
      </c>
      <c r="N55" s="7"/>
      <c r="O55" s="10" t="n">
        <f aca="false">IF(K55&lt;&gt;"",K55,H55)</f>
        <v>333.33</v>
      </c>
      <c r="P55" s="7" t="str">
        <f aca="false">IF(K55&lt;&gt;"","median allowed","median negotiated")</f>
        <v>median negotiated</v>
      </c>
    </row>
    <row r="56" customFormat="false" ht="15" hidden="false" customHeight="false" outlineLevel="0" collapsed="false">
      <c r="A56" s="7" t="s">
        <v>91</v>
      </c>
      <c r="B56" s="7" t="s">
        <v>40</v>
      </c>
      <c r="C56" s="7" t="s">
        <v>94</v>
      </c>
      <c r="D56" s="7" t="s">
        <v>95</v>
      </c>
      <c r="E56" s="7" t="s">
        <v>43</v>
      </c>
      <c r="F56" s="7" t="n">
        <f aca="false">COUNTIFS(Rates_data!$B$2:$B$75,$A56,Rates_data!$D$2:$D$75,$B56,Rates_data!$E$2:$E$75,$C56,Rates_data!$G$2:$G$75,$E56,Rates_data!$Y$2:$Y$75,1)</f>
        <v>1</v>
      </c>
      <c r="G56" s="8" t="n">
        <f aca="false">_xlfn.MINIFS(Rates_data!$P$2:$P$75,Rates_data!$B$2:$B$75,$A56,Rates_data!$D$2:$D$75,$B56,Rates_data!$E$2:$E$75,$C56,Rates_data!$G$2:$G$75,$E56,Rates_data!$Y$2:$Y$75,1)</f>
        <v>396.97</v>
      </c>
      <c r="H56" s="8" t="n">
        <f aca="false" t="array" ref="H56:H56">MEDIAN(IF((Rates_data!$B$2:$B$75=$A56)*(Rates_data!$D$2:$D$75=$B56)*(Rates_data!$G$2:$G$75=$E56)*(Rates_data!$E$2:$E$75=$C56)*(Rates_data!$Y$2:$Y$75=1)*(Rates_data!$P$2:$P$75&lt;&gt;""),Rates_data!$P$2:$P$75))</f>
        <v>396.97</v>
      </c>
      <c r="I56" s="8" t="n">
        <f aca="false">_xlfn.MAXIFS(Rates_data!$P$2:$P$75,Rates_data!$B$2:$B$75,$A56,Rates_data!$D$2:$D$75,$B56,Rates_data!$E$2:$E$75,$C56,Rates_data!$G$2:$G$75,$E56,Rates_data!$Y$2:$Y$75,1)</f>
        <v>396.97</v>
      </c>
      <c r="J56" s="9" t="n">
        <f aca="false">IF(F56=0,"",SUMIFS(Rates_data!$R$2:$R$75,Rates_data!$B$2:$B$75,$A56,Rates_data!$D$2:$D$75,$B56,Rates_data!$E$2:$E$75,$C56,Rates_data!$G$2:$G$75,$E56,Rates_data!$Y$2:$Y$75,1)/F56)</f>
        <v>0</v>
      </c>
      <c r="K56" s="8" t="str">
        <f aca="false" t="array" ref="K56:K56">IF(COUNTIFS(Rates_data!$B$2:$B$75,$A56,Rates_data!$D$2:$D$75,$B56,Rates_data!$E$2:$E$75,$C56,Rates_data!$G$2:$G$75,$E56,Rates_data!$Y$2:$Y$75,1,Rates_data!$S$2:$S$75,"&lt;&gt;")=0,"",MEDIAN(IF((Rates_data!$B$2:$B$75=$A56)*(Rates_data!$D$2:$D$75=$B56)*(Rates_data!$G$2:$G$75=$E56)*(Rates_data!$E$2:$E$75=$C56)*(Rates_data!$Y$2:$Y$75=1)*(Rates_data!$S$2:$S$75&lt;&gt;""),Rates_data!$S$2:$S$75)))</f>
        <v/>
      </c>
      <c r="L56" s="8" t="str">
        <f aca="false">IF(COUNTIFS(Rates_data!$B$2:$B$75,$A56,Rates_data!$D$2:$D$75,$B56,Rates_data!$E$2:$E$75,$C56,Rates_data!$G$2:$G$75,$E56,Rates_data!$Y$2:$Y$75,1,Rates_data!$T$2:$T$75,"&lt;&gt;")=0,"",_xlfn.MINIFS(Rates_data!$T$2:$T$75,Rates_data!$B$2:$B$75,$A56,Rates_data!$D$2:$D$75,$B56,Rates_data!$E$2:$E$75,$C56,Rates_data!$G$2:$G$75,$E56,Rates_data!$Y$2:$Y$75,1))</f>
        <v/>
      </c>
      <c r="M56" s="8" t="str">
        <f aca="false">IF(COUNTIFS(Rates_data!$B$2:$B$75,$A56,Rates_data!$D$2:$D$75,$B56,Rates_data!$E$2:$E$75,$C56,Rates_data!$G$2:$G$75,$E56,Rates_data!$Y$2:$Y$75,1,Rates_data!$U$2:$U$75,"&lt;&gt;")=0,"",_xlfn.MAXIFS(Rates_data!$U$2:$U$75,Rates_data!$B$2:$B$75,$A56,Rates_data!$D$2:$D$75,$B56,Rates_data!$E$2:$E$75,$C56,Rates_data!$G$2:$G$75,$E56,Rates_data!$Y$2:$Y$75,1))</f>
        <v/>
      </c>
      <c r="N56" s="7"/>
      <c r="O56" s="10" t="n">
        <f aca="false">IF(K56&lt;&gt;"",K56,H56)</f>
        <v>396.97</v>
      </c>
      <c r="P56" s="7" t="str">
        <f aca="false">IF(K56&lt;&gt;"","median allowed","median negotiated")</f>
        <v>median negotiated</v>
      </c>
    </row>
    <row r="57" customFormat="false" ht="15" hidden="false" customHeight="false" outlineLevel="0" collapsed="false">
      <c r="A57" s="7" t="s">
        <v>91</v>
      </c>
      <c r="B57" s="7" t="s">
        <v>98</v>
      </c>
      <c r="C57" s="7" t="s">
        <v>93</v>
      </c>
      <c r="D57" s="7" t="s">
        <v>67</v>
      </c>
      <c r="E57" s="7" t="s">
        <v>43</v>
      </c>
      <c r="F57" s="7" t="n">
        <f aca="false">COUNTIFS(Rates_data!$B$2:$B$75,$A57,Rates_data!$D$2:$D$75,$B57,Rates_data!$E$2:$E$75,$C57,Rates_data!$G$2:$G$75,$E57,Rates_data!$Y$2:$Y$75,1)</f>
        <v>2</v>
      </c>
      <c r="G57" s="8" t="n">
        <f aca="false">_xlfn.MINIFS(Rates_data!$P$2:$P$75,Rates_data!$B$2:$B$75,$A57,Rates_data!$D$2:$D$75,$B57,Rates_data!$E$2:$E$75,$C57,Rates_data!$G$2:$G$75,$E57,Rates_data!$Y$2:$Y$75,1)</f>
        <v>255.23</v>
      </c>
      <c r="H57" s="8" t="n">
        <f aca="false" t="array" ref="H57:H57">MEDIAN(IF((Rates_data!$B$2:$B$75=$A57)*(Rates_data!$D$2:$D$75=$B57)*(Rates_data!$G$2:$G$75=$E57)*(Rates_data!$E$2:$E$75=$C57)*(Rates_data!$Y$2:$Y$75=1)*(Rates_data!$P$2:$P$75&lt;&gt;""),Rates_data!$P$2:$P$75))</f>
        <v>261.075</v>
      </c>
      <c r="I57" s="8" t="n">
        <f aca="false">_xlfn.MAXIFS(Rates_data!$P$2:$P$75,Rates_data!$B$2:$B$75,$A57,Rates_data!$D$2:$D$75,$B57,Rates_data!$E$2:$E$75,$C57,Rates_data!$G$2:$G$75,$E57,Rates_data!$Y$2:$Y$75,1)</f>
        <v>266.92</v>
      </c>
      <c r="J57" s="9" t="n">
        <f aca="false">IF(F57=0,"",SUMIFS(Rates_data!$R$2:$R$75,Rates_data!$B$2:$B$75,$A57,Rates_data!$D$2:$D$75,$B57,Rates_data!$E$2:$E$75,$C57,Rates_data!$G$2:$G$75,$E57,Rates_data!$Y$2:$Y$75,1)/F57)</f>
        <v>0</v>
      </c>
      <c r="K57" s="8" t="str">
        <f aca="false" t="array" ref="K57:K57">IF(COUNTIFS(Rates_data!$B$2:$B$75,$A57,Rates_data!$D$2:$D$75,$B57,Rates_data!$E$2:$E$75,$C57,Rates_data!$G$2:$G$75,$E57,Rates_data!$Y$2:$Y$75,1,Rates_data!$S$2:$S$75,"&lt;&gt;")=0,"",MEDIAN(IF((Rates_data!$B$2:$B$75=$A57)*(Rates_data!$D$2:$D$75=$B57)*(Rates_data!$G$2:$G$75=$E57)*(Rates_data!$E$2:$E$75=$C57)*(Rates_data!$Y$2:$Y$75=1)*(Rates_data!$S$2:$S$75&lt;&gt;""),Rates_data!$S$2:$S$75)))</f>
        <v/>
      </c>
      <c r="L57" s="8" t="str">
        <f aca="false">IF(COUNTIFS(Rates_data!$B$2:$B$75,$A57,Rates_data!$D$2:$D$75,$B57,Rates_data!$E$2:$E$75,$C57,Rates_data!$G$2:$G$75,$E57,Rates_data!$Y$2:$Y$75,1,Rates_data!$T$2:$T$75,"&lt;&gt;")=0,"",_xlfn.MINIFS(Rates_data!$T$2:$T$75,Rates_data!$B$2:$B$75,$A57,Rates_data!$D$2:$D$75,$B57,Rates_data!$E$2:$E$75,$C57,Rates_data!$G$2:$G$75,$E57,Rates_data!$Y$2:$Y$75,1))</f>
        <v/>
      </c>
      <c r="M57" s="8" t="str">
        <f aca="false">IF(COUNTIFS(Rates_data!$B$2:$B$75,$A57,Rates_data!$D$2:$D$75,$B57,Rates_data!$E$2:$E$75,$C57,Rates_data!$G$2:$G$75,$E57,Rates_data!$Y$2:$Y$75,1,Rates_data!$U$2:$U$75,"&lt;&gt;")=0,"",_xlfn.MAXIFS(Rates_data!$U$2:$U$75,Rates_data!$B$2:$B$75,$A57,Rates_data!$D$2:$D$75,$B57,Rates_data!$E$2:$E$75,$C57,Rates_data!$G$2:$G$75,$E57,Rates_data!$Y$2:$Y$75,1))</f>
        <v/>
      </c>
      <c r="N57" s="7"/>
      <c r="O57" s="10" t="n">
        <f aca="false">IF(K57&lt;&gt;"",K57,H57)</f>
        <v>261.075</v>
      </c>
      <c r="P57" s="7" t="str">
        <f aca="false">IF(K57&lt;&gt;"","median allowed","median negotiated")</f>
        <v>median negotiated</v>
      </c>
    </row>
    <row r="58" customFormat="false" ht="15" hidden="false" customHeight="false" outlineLevel="0" collapsed="false">
      <c r="A58" s="7" t="s">
        <v>91</v>
      </c>
      <c r="B58" s="7" t="s">
        <v>98</v>
      </c>
      <c r="C58" s="7" t="s">
        <v>94</v>
      </c>
      <c r="D58" s="7" t="s">
        <v>95</v>
      </c>
      <c r="E58" s="7" t="s">
        <v>43</v>
      </c>
      <c r="F58" s="7" t="n">
        <f aca="false">COUNTIFS(Rates_data!$B$2:$B$75,$A58,Rates_data!$D$2:$D$75,$B58,Rates_data!$E$2:$E$75,$C58,Rates_data!$G$2:$G$75,$E58,Rates_data!$Y$2:$Y$75,1)</f>
        <v>1</v>
      </c>
      <c r="G58" s="8" t="n">
        <f aca="false">_xlfn.MINIFS(Rates_data!$P$2:$P$75,Rates_data!$B$2:$B$75,$A58,Rates_data!$D$2:$D$75,$B58,Rates_data!$E$2:$E$75,$C58,Rates_data!$G$2:$G$75,$E58,Rates_data!$Y$2:$Y$75,1)</f>
        <v>310.92</v>
      </c>
      <c r="H58" s="8" t="n">
        <f aca="false" t="array" ref="H58:H58">MEDIAN(IF((Rates_data!$B$2:$B$75=$A58)*(Rates_data!$D$2:$D$75=$B58)*(Rates_data!$G$2:$G$75=$E58)*(Rates_data!$E$2:$E$75=$C58)*(Rates_data!$Y$2:$Y$75=1)*(Rates_data!$P$2:$P$75&lt;&gt;""),Rates_data!$P$2:$P$75))</f>
        <v>310.92</v>
      </c>
      <c r="I58" s="8" t="n">
        <f aca="false">_xlfn.MAXIFS(Rates_data!$P$2:$P$75,Rates_data!$B$2:$B$75,$A58,Rates_data!$D$2:$D$75,$B58,Rates_data!$E$2:$E$75,$C58,Rates_data!$G$2:$G$75,$E58,Rates_data!$Y$2:$Y$75,1)</f>
        <v>310.92</v>
      </c>
      <c r="J58" s="9" t="n">
        <f aca="false">IF(F58=0,"",SUMIFS(Rates_data!$R$2:$R$75,Rates_data!$B$2:$B$75,$A58,Rates_data!$D$2:$D$75,$B58,Rates_data!$E$2:$E$75,$C58,Rates_data!$G$2:$G$75,$E58,Rates_data!$Y$2:$Y$75,1)/F58)</f>
        <v>0</v>
      </c>
      <c r="K58" s="8" t="str">
        <f aca="false" t="array" ref="K58:K58">IF(COUNTIFS(Rates_data!$B$2:$B$75,$A58,Rates_data!$D$2:$D$75,$B58,Rates_data!$E$2:$E$75,$C58,Rates_data!$G$2:$G$75,$E58,Rates_data!$Y$2:$Y$75,1,Rates_data!$S$2:$S$75,"&lt;&gt;")=0,"",MEDIAN(IF((Rates_data!$B$2:$B$75=$A58)*(Rates_data!$D$2:$D$75=$B58)*(Rates_data!$G$2:$G$75=$E58)*(Rates_data!$E$2:$E$75=$C58)*(Rates_data!$Y$2:$Y$75=1)*(Rates_data!$S$2:$S$75&lt;&gt;""),Rates_data!$S$2:$S$75)))</f>
        <v/>
      </c>
      <c r="L58" s="8" t="str">
        <f aca="false">IF(COUNTIFS(Rates_data!$B$2:$B$75,$A58,Rates_data!$D$2:$D$75,$B58,Rates_data!$E$2:$E$75,$C58,Rates_data!$G$2:$G$75,$E58,Rates_data!$Y$2:$Y$75,1,Rates_data!$T$2:$T$75,"&lt;&gt;")=0,"",_xlfn.MINIFS(Rates_data!$T$2:$T$75,Rates_data!$B$2:$B$75,$A58,Rates_data!$D$2:$D$75,$B58,Rates_data!$E$2:$E$75,$C58,Rates_data!$G$2:$G$75,$E58,Rates_data!$Y$2:$Y$75,1))</f>
        <v/>
      </c>
      <c r="M58" s="8" t="str">
        <f aca="false">IF(COUNTIFS(Rates_data!$B$2:$B$75,$A58,Rates_data!$D$2:$D$75,$B58,Rates_data!$E$2:$E$75,$C58,Rates_data!$G$2:$G$75,$E58,Rates_data!$Y$2:$Y$75,1,Rates_data!$U$2:$U$75,"&lt;&gt;")=0,"",_xlfn.MAXIFS(Rates_data!$U$2:$U$75,Rates_data!$B$2:$B$75,$A58,Rates_data!$D$2:$D$75,$B58,Rates_data!$E$2:$E$75,$C58,Rates_data!$G$2:$G$75,$E58,Rates_data!$Y$2:$Y$75,1))</f>
        <v/>
      </c>
      <c r="N58" s="7"/>
      <c r="O58" s="10" t="n">
        <f aca="false">IF(K58&lt;&gt;"",K58,H58)</f>
        <v>310.92</v>
      </c>
      <c r="P58" s="7" t="str">
        <f aca="false">IF(K58&lt;&gt;"","median allowed","median negotiated")</f>
        <v>median negotiated</v>
      </c>
    </row>
    <row r="59" customFormat="false" ht="15" hidden="false" customHeight="false" outlineLevel="0" collapsed="false">
      <c r="A59" s="7" t="s">
        <v>91</v>
      </c>
      <c r="B59" s="7" t="s">
        <v>45</v>
      </c>
      <c r="C59" s="7" t="s">
        <v>93</v>
      </c>
      <c r="D59" s="7" t="s">
        <v>67</v>
      </c>
      <c r="E59" s="7" t="s">
        <v>43</v>
      </c>
      <c r="F59" s="7" t="n">
        <f aca="false">COUNTIFS(Rates_data!$B$2:$B$75,$A59,Rates_data!$D$2:$D$75,$B59,Rates_data!$E$2:$E$75,$C59,Rates_data!$G$2:$G$75,$E59,Rates_data!$Y$2:$Y$75,1)</f>
        <v>2</v>
      </c>
      <c r="G59" s="8" t="n">
        <f aca="false">_xlfn.MINIFS(Rates_data!$P$2:$P$75,Rates_data!$B$2:$B$75,$A59,Rates_data!$D$2:$D$75,$B59,Rates_data!$E$2:$E$75,$C59,Rates_data!$G$2:$G$75,$E59,Rates_data!$Y$2:$Y$75,1)</f>
        <v>255.23</v>
      </c>
      <c r="H59" s="8" t="n">
        <f aca="false" t="array" ref="H59:H59">MEDIAN(IF((Rates_data!$B$2:$B$75=$A59)*(Rates_data!$D$2:$D$75=$B59)*(Rates_data!$G$2:$G$75=$E59)*(Rates_data!$E$2:$E$75=$C59)*(Rates_data!$Y$2:$Y$75=1)*(Rates_data!$P$2:$P$75&lt;&gt;""),Rates_data!$P$2:$P$75))</f>
        <v>261.075</v>
      </c>
      <c r="I59" s="8" t="n">
        <f aca="false">_xlfn.MAXIFS(Rates_data!$P$2:$P$75,Rates_data!$B$2:$B$75,$A59,Rates_data!$D$2:$D$75,$B59,Rates_data!$E$2:$E$75,$C59,Rates_data!$G$2:$G$75,$E59,Rates_data!$Y$2:$Y$75,1)</f>
        <v>266.92</v>
      </c>
      <c r="J59" s="9" t="n">
        <f aca="false">IF(F59=0,"",SUMIFS(Rates_data!$R$2:$R$75,Rates_data!$B$2:$B$75,$A59,Rates_data!$D$2:$D$75,$B59,Rates_data!$E$2:$E$75,$C59,Rates_data!$G$2:$G$75,$E59,Rates_data!$Y$2:$Y$75,1)/F59)</f>
        <v>0</v>
      </c>
      <c r="K59" s="8" t="str">
        <f aca="false" t="array" ref="K59:K59">IF(COUNTIFS(Rates_data!$B$2:$B$75,$A59,Rates_data!$D$2:$D$75,$B59,Rates_data!$E$2:$E$75,$C59,Rates_data!$G$2:$G$75,$E59,Rates_data!$Y$2:$Y$75,1,Rates_data!$S$2:$S$75,"&lt;&gt;")=0,"",MEDIAN(IF((Rates_data!$B$2:$B$75=$A59)*(Rates_data!$D$2:$D$75=$B59)*(Rates_data!$G$2:$G$75=$E59)*(Rates_data!$E$2:$E$75=$C59)*(Rates_data!$Y$2:$Y$75=1)*(Rates_data!$S$2:$S$75&lt;&gt;""),Rates_data!$S$2:$S$75)))</f>
        <v/>
      </c>
      <c r="L59" s="8" t="str">
        <f aca="false">IF(COUNTIFS(Rates_data!$B$2:$B$75,$A59,Rates_data!$D$2:$D$75,$B59,Rates_data!$E$2:$E$75,$C59,Rates_data!$G$2:$G$75,$E59,Rates_data!$Y$2:$Y$75,1,Rates_data!$T$2:$T$75,"&lt;&gt;")=0,"",_xlfn.MINIFS(Rates_data!$T$2:$T$75,Rates_data!$B$2:$B$75,$A59,Rates_data!$D$2:$D$75,$B59,Rates_data!$E$2:$E$75,$C59,Rates_data!$G$2:$G$75,$E59,Rates_data!$Y$2:$Y$75,1))</f>
        <v/>
      </c>
      <c r="M59" s="8" t="str">
        <f aca="false">IF(COUNTIFS(Rates_data!$B$2:$B$75,$A59,Rates_data!$D$2:$D$75,$B59,Rates_data!$E$2:$E$75,$C59,Rates_data!$G$2:$G$75,$E59,Rates_data!$Y$2:$Y$75,1,Rates_data!$U$2:$U$75,"&lt;&gt;")=0,"",_xlfn.MAXIFS(Rates_data!$U$2:$U$75,Rates_data!$B$2:$B$75,$A59,Rates_data!$D$2:$D$75,$B59,Rates_data!$E$2:$E$75,$C59,Rates_data!$G$2:$G$75,$E59,Rates_data!$Y$2:$Y$75,1))</f>
        <v/>
      </c>
      <c r="N59" s="7"/>
      <c r="O59" s="10" t="n">
        <f aca="false">IF(K59&lt;&gt;"",K59,H59)</f>
        <v>261.075</v>
      </c>
      <c r="P59" s="7" t="str">
        <f aca="false">IF(K59&lt;&gt;"","median allowed","median negotiated")</f>
        <v>median negotiated</v>
      </c>
    </row>
    <row r="60" customFormat="false" ht="15" hidden="false" customHeight="false" outlineLevel="0" collapsed="false">
      <c r="A60" s="7" t="s">
        <v>91</v>
      </c>
      <c r="B60" s="7" t="s">
        <v>45</v>
      </c>
      <c r="C60" s="7" t="s">
        <v>94</v>
      </c>
      <c r="D60" s="7" t="s">
        <v>95</v>
      </c>
      <c r="E60" s="7" t="s">
        <v>43</v>
      </c>
      <c r="F60" s="7" t="n">
        <f aca="false">COUNTIFS(Rates_data!$B$2:$B$75,$A60,Rates_data!$D$2:$D$75,$B60,Rates_data!$E$2:$E$75,$C60,Rates_data!$G$2:$G$75,$E60,Rates_data!$Y$2:$Y$75,1)</f>
        <v>1</v>
      </c>
      <c r="G60" s="8" t="n">
        <f aca="false">_xlfn.MINIFS(Rates_data!$P$2:$P$75,Rates_data!$B$2:$B$75,$A60,Rates_data!$D$2:$D$75,$B60,Rates_data!$E$2:$E$75,$C60,Rates_data!$G$2:$G$75,$E60,Rates_data!$Y$2:$Y$75,1)</f>
        <v>310.92</v>
      </c>
      <c r="H60" s="8" t="n">
        <f aca="false" t="array" ref="H60:H60">MEDIAN(IF((Rates_data!$B$2:$B$75=$A60)*(Rates_data!$D$2:$D$75=$B60)*(Rates_data!$G$2:$G$75=$E60)*(Rates_data!$E$2:$E$75=$C60)*(Rates_data!$Y$2:$Y$75=1)*(Rates_data!$P$2:$P$75&lt;&gt;""),Rates_data!$P$2:$P$75))</f>
        <v>310.92</v>
      </c>
      <c r="I60" s="8" t="n">
        <f aca="false">_xlfn.MAXIFS(Rates_data!$P$2:$P$75,Rates_data!$B$2:$B$75,$A60,Rates_data!$D$2:$D$75,$B60,Rates_data!$E$2:$E$75,$C60,Rates_data!$G$2:$G$75,$E60,Rates_data!$Y$2:$Y$75,1)</f>
        <v>310.92</v>
      </c>
      <c r="J60" s="9" t="n">
        <f aca="false">IF(F60=0,"",SUMIFS(Rates_data!$R$2:$R$75,Rates_data!$B$2:$B$75,$A60,Rates_data!$D$2:$D$75,$B60,Rates_data!$E$2:$E$75,$C60,Rates_data!$G$2:$G$75,$E60,Rates_data!$Y$2:$Y$75,1)/F60)</f>
        <v>0</v>
      </c>
      <c r="K60" s="8" t="str">
        <f aca="false" t="array" ref="K60:K60">IF(COUNTIFS(Rates_data!$B$2:$B$75,$A60,Rates_data!$D$2:$D$75,$B60,Rates_data!$E$2:$E$75,$C60,Rates_data!$G$2:$G$75,$E60,Rates_data!$Y$2:$Y$75,1,Rates_data!$S$2:$S$75,"&lt;&gt;")=0,"",MEDIAN(IF((Rates_data!$B$2:$B$75=$A60)*(Rates_data!$D$2:$D$75=$B60)*(Rates_data!$G$2:$G$75=$E60)*(Rates_data!$E$2:$E$75=$C60)*(Rates_data!$Y$2:$Y$75=1)*(Rates_data!$S$2:$S$75&lt;&gt;""),Rates_data!$S$2:$S$75)))</f>
        <v/>
      </c>
      <c r="L60" s="8" t="str">
        <f aca="false">IF(COUNTIFS(Rates_data!$B$2:$B$75,$A60,Rates_data!$D$2:$D$75,$B60,Rates_data!$E$2:$E$75,$C60,Rates_data!$G$2:$G$75,$E60,Rates_data!$Y$2:$Y$75,1,Rates_data!$T$2:$T$75,"&lt;&gt;")=0,"",_xlfn.MINIFS(Rates_data!$T$2:$T$75,Rates_data!$B$2:$B$75,$A60,Rates_data!$D$2:$D$75,$B60,Rates_data!$E$2:$E$75,$C60,Rates_data!$G$2:$G$75,$E60,Rates_data!$Y$2:$Y$75,1))</f>
        <v/>
      </c>
      <c r="M60" s="8" t="str">
        <f aca="false">IF(COUNTIFS(Rates_data!$B$2:$B$75,$A60,Rates_data!$D$2:$D$75,$B60,Rates_data!$E$2:$E$75,$C60,Rates_data!$G$2:$G$75,$E60,Rates_data!$Y$2:$Y$75,1,Rates_data!$U$2:$U$75,"&lt;&gt;")=0,"",_xlfn.MAXIFS(Rates_data!$U$2:$U$75,Rates_data!$B$2:$B$75,$A60,Rates_data!$D$2:$D$75,$B60,Rates_data!$E$2:$E$75,$C60,Rates_data!$G$2:$G$75,$E60,Rates_data!$Y$2:$Y$75,1))</f>
        <v/>
      </c>
      <c r="N60" s="7"/>
      <c r="O60" s="10" t="n">
        <f aca="false">IF(K60&lt;&gt;"",K60,H60)</f>
        <v>310.92</v>
      </c>
      <c r="P60" s="7" t="str">
        <f aca="false">IF(K60&lt;&gt;"","median allowed","median negotiated")</f>
        <v>median negotiated</v>
      </c>
    </row>
    <row r="61" customFormat="false" ht="15" hidden="false" customHeight="false" outlineLevel="0" collapsed="false">
      <c r="A61" s="7" t="s">
        <v>91</v>
      </c>
      <c r="B61" s="7" t="s">
        <v>60</v>
      </c>
      <c r="C61" s="7" t="s">
        <v>93</v>
      </c>
      <c r="D61" s="7" t="s">
        <v>67</v>
      </c>
      <c r="E61" s="7" t="s">
        <v>43</v>
      </c>
      <c r="F61" s="7" t="n">
        <f aca="false">COUNTIFS(Rates_data!$B$2:$B$75,$A61,Rates_data!$D$2:$D$75,$B61,Rates_data!$E$2:$E$75,$C61,Rates_data!$G$2:$G$75,$E61,Rates_data!$Y$2:$Y$75,1)</f>
        <v>2</v>
      </c>
      <c r="G61" s="8" t="n">
        <f aca="false">_xlfn.MINIFS(Rates_data!$P$2:$P$75,Rates_data!$B$2:$B$75,$A61,Rates_data!$D$2:$D$75,$B61,Rates_data!$E$2:$E$75,$C61,Rates_data!$G$2:$G$75,$E61,Rates_data!$Y$2:$Y$75,1)</f>
        <v>325.87</v>
      </c>
      <c r="H61" s="8" t="n">
        <f aca="false" t="array" ref="H61:H61">MEDIAN(IF((Rates_data!$B$2:$B$75=$A61)*(Rates_data!$D$2:$D$75=$B61)*(Rates_data!$G$2:$G$75=$E61)*(Rates_data!$E$2:$E$75=$C61)*(Rates_data!$Y$2:$Y$75=1)*(Rates_data!$P$2:$P$75&lt;&gt;""),Rates_data!$P$2:$P$75))</f>
        <v>333.33</v>
      </c>
      <c r="I61" s="8" t="n">
        <f aca="false">_xlfn.MAXIFS(Rates_data!$P$2:$P$75,Rates_data!$B$2:$B$75,$A61,Rates_data!$D$2:$D$75,$B61,Rates_data!$E$2:$E$75,$C61,Rates_data!$G$2:$G$75,$E61,Rates_data!$Y$2:$Y$75,1)</f>
        <v>340.79</v>
      </c>
      <c r="J61" s="9" t="n">
        <f aca="false">IF(F61=0,"",SUMIFS(Rates_data!$R$2:$R$75,Rates_data!$B$2:$B$75,$A61,Rates_data!$D$2:$D$75,$B61,Rates_data!$E$2:$E$75,$C61,Rates_data!$G$2:$G$75,$E61,Rates_data!$Y$2:$Y$75,1)/F61)</f>
        <v>0</v>
      </c>
      <c r="K61" s="8" t="str">
        <f aca="false" t="array" ref="K61:K61">IF(COUNTIFS(Rates_data!$B$2:$B$75,$A61,Rates_data!$D$2:$D$75,$B61,Rates_data!$E$2:$E$75,$C61,Rates_data!$G$2:$G$75,$E61,Rates_data!$Y$2:$Y$75,1,Rates_data!$S$2:$S$75,"&lt;&gt;")=0,"",MEDIAN(IF((Rates_data!$B$2:$B$75=$A61)*(Rates_data!$D$2:$D$75=$B61)*(Rates_data!$G$2:$G$75=$E61)*(Rates_data!$E$2:$E$75=$C61)*(Rates_data!$Y$2:$Y$75=1)*(Rates_data!$S$2:$S$75&lt;&gt;""),Rates_data!$S$2:$S$75)))</f>
        <v/>
      </c>
      <c r="L61" s="8" t="str">
        <f aca="false">IF(COUNTIFS(Rates_data!$B$2:$B$75,$A61,Rates_data!$D$2:$D$75,$B61,Rates_data!$E$2:$E$75,$C61,Rates_data!$G$2:$G$75,$E61,Rates_data!$Y$2:$Y$75,1,Rates_data!$T$2:$T$75,"&lt;&gt;")=0,"",_xlfn.MINIFS(Rates_data!$T$2:$T$75,Rates_data!$B$2:$B$75,$A61,Rates_data!$D$2:$D$75,$B61,Rates_data!$E$2:$E$75,$C61,Rates_data!$G$2:$G$75,$E61,Rates_data!$Y$2:$Y$75,1))</f>
        <v/>
      </c>
      <c r="M61" s="8" t="str">
        <f aca="false">IF(COUNTIFS(Rates_data!$B$2:$B$75,$A61,Rates_data!$D$2:$D$75,$B61,Rates_data!$E$2:$E$75,$C61,Rates_data!$G$2:$G$75,$E61,Rates_data!$Y$2:$Y$75,1,Rates_data!$U$2:$U$75,"&lt;&gt;")=0,"",_xlfn.MAXIFS(Rates_data!$U$2:$U$75,Rates_data!$B$2:$B$75,$A61,Rates_data!$D$2:$D$75,$B61,Rates_data!$E$2:$E$75,$C61,Rates_data!$G$2:$G$75,$E61,Rates_data!$Y$2:$Y$75,1))</f>
        <v/>
      </c>
      <c r="N61" s="7"/>
      <c r="O61" s="10" t="n">
        <f aca="false">IF(K61&lt;&gt;"",K61,H61)</f>
        <v>333.33</v>
      </c>
      <c r="P61" s="7" t="str">
        <f aca="false">IF(K61&lt;&gt;"","median allowed","median negotiated")</f>
        <v>median negotiated</v>
      </c>
    </row>
    <row r="62" customFormat="false" ht="15" hidden="false" customHeight="false" outlineLevel="0" collapsed="false">
      <c r="A62" s="7" t="s">
        <v>91</v>
      </c>
      <c r="B62" s="7" t="s">
        <v>60</v>
      </c>
      <c r="C62" s="7" t="s">
        <v>94</v>
      </c>
      <c r="D62" s="7" t="s">
        <v>95</v>
      </c>
      <c r="E62" s="7" t="s">
        <v>43</v>
      </c>
      <c r="F62" s="7" t="n">
        <f aca="false">COUNTIFS(Rates_data!$B$2:$B$75,$A62,Rates_data!$D$2:$D$75,$B62,Rates_data!$E$2:$E$75,$C62,Rates_data!$G$2:$G$75,$E62,Rates_data!$Y$2:$Y$75,1)</f>
        <v>1</v>
      </c>
      <c r="G62" s="8" t="n">
        <f aca="false">_xlfn.MINIFS(Rates_data!$P$2:$P$75,Rates_data!$B$2:$B$75,$A62,Rates_data!$D$2:$D$75,$B62,Rates_data!$E$2:$E$75,$C62,Rates_data!$G$2:$G$75,$E62,Rates_data!$Y$2:$Y$75,1)</f>
        <v>396.97</v>
      </c>
      <c r="H62" s="8" t="n">
        <f aca="false" t="array" ref="H62:H62">MEDIAN(IF((Rates_data!$B$2:$B$75=$A62)*(Rates_data!$D$2:$D$75=$B62)*(Rates_data!$G$2:$G$75=$E62)*(Rates_data!$E$2:$E$75=$C62)*(Rates_data!$Y$2:$Y$75=1)*(Rates_data!$P$2:$P$75&lt;&gt;""),Rates_data!$P$2:$P$75))</f>
        <v>396.97</v>
      </c>
      <c r="I62" s="8" t="n">
        <f aca="false">_xlfn.MAXIFS(Rates_data!$P$2:$P$75,Rates_data!$B$2:$B$75,$A62,Rates_data!$D$2:$D$75,$B62,Rates_data!$E$2:$E$75,$C62,Rates_data!$G$2:$G$75,$E62,Rates_data!$Y$2:$Y$75,1)</f>
        <v>396.97</v>
      </c>
      <c r="J62" s="9" t="n">
        <f aca="false">IF(F62=0,"",SUMIFS(Rates_data!$R$2:$R$75,Rates_data!$B$2:$B$75,$A62,Rates_data!$D$2:$D$75,$B62,Rates_data!$E$2:$E$75,$C62,Rates_data!$G$2:$G$75,$E62,Rates_data!$Y$2:$Y$75,1)/F62)</f>
        <v>0</v>
      </c>
      <c r="K62" s="8" t="str">
        <f aca="false" t="array" ref="K62:K62">IF(COUNTIFS(Rates_data!$B$2:$B$75,$A62,Rates_data!$D$2:$D$75,$B62,Rates_data!$E$2:$E$75,$C62,Rates_data!$G$2:$G$75,$E62,Rates_data!$Y$2:$Y$75,1,Rates_data!$S$2:$S$75,"&lt;&gt;")=0,"",MEDIAN(IF((Rates_data!$B$2:$B$75=$A62)*(Rates_data!$D$2:$D$75=$B62)*(Rates_data!$G$2:$G$75=$E62)*(Rates_data!$E$2:$E$75=$C62)*(Rates_data!$Y$2:$Y$75=1)*(Rates_data!$S$2:$S$75&lt;&gt;""),Rates_data!$S$2:$S$75)))</f>
        <v/>
      </c>
      <c r="L62" s="8" t="str">
        <f aca="false">IF(COUNTIFS(Rates_data!$B$2:$B$75,$A62,Rates_data!$D$2:$D$75,$B62,Rates_data!$E$2:$E$75,$C62,Rates_data!$G$2:$G$75,$E62,Rates_data!$Y$2:$Y$75,1,Rates_data!$T$2:$T$75,"&lt;&gt;")=0,"",_xlfn.MINIFS(Rates_data!$T$2:$T$75,Rates_data!$B$2:$B$75,$A62,Rates_data!$D$2:$D$75,$B62,Rates_data!$E$2:$E$75,$C62,Rates_data!$G$2:$G$75,$E62,Rates_data!$Y$2:$Y$75,1))</f>
        <v/>
      </c>
      <c r="M62" s="8" t="str">
        <f aca="false">IF(COUNTIFS(Rates_data!$B$2:$B$75,$A62,Rates_data!$D$2:$D$75,$B62,Rates_data!$E$2:$E$75,$C62,Rates_data!$G$2:$G$75,$E62,Rates_data!$Y$2:$Y$75,1,Rates_data!$U$2:$U$75,"&lt;&gt;")=0,"",_xlfn.MAXIFS(Rates_data!$U$2:$U$75,Rates_data!$B$2:$B$75,$A62,Rates_data!$D$2:$D$75,$B62,Rates_data!$E$2:$E$75,$C62,Rates_data!$G$2:$G$75,$E62,Rates_data!$Y$2:$Y$75,1))</f>
        <v/>
      </c>
      <c r="N62" s="7"/>
      <c r="O62" s="10" t="n">
        <f aca="false">IF(K62&lt;&gt;"",K62,H62)</f>
        <v>396.97</v>
      </c>
      <c r="P62" s="7" t="str">
        <f aca="false">IF(K62&lt;&gt;"","median allowed","median negotiated")</f>
        <v>median negotiated</v>
      </c>
    </row>
  </sheetData>
  <autoFilter ref="A4:P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30"/>
    <col collapsed="false" customWidth="true" hidden="false" outlineLevel="0" max="4" min="4" style="0" width="36"/>
    <col collapsed="false" customWidth="true" hidden="false" outlineLevel="0" max="5" min="5" style="0" width="34"/>
    <col collapsed="false" customWidth="true" hidden="false" outlineLevel="0" max="7" min="6" style="0" width="12"/>
    <col collapsed="false" customWidth="true" hidden="false" outlineLevel="0" max="8" min="8" style="0" width="13"/>
    <col collapsed="false" customWidth="true" hidden="false" outlineLevel="0" max="10" min="9" style="0" width="12"/>
    <col collapsed="false" customWidth="true" hidden="false" outlineLevel="0" max="11" min="11" style="0" width="13"/>
    <col collapsed="false" customWidth="true" hidden="false" outlineLevel="0" max="12" min="12" style="0" width="14"/>
    <col collapsed="false" customWidth="true" hidden="false" outlineLevel="0" max="13" min="13" style="0" width="15"/>
    <col collapsed="false" customWidth="true" hidden="false" outlineLevel="0" max="14" min="14" style="0" width="16"/>
    <col collapsed="false" customWidth="true" hidden="false" outlineLevel="0" max="15" min="15" style="0" width="14"/>
    <col collapsed="false" customWidth="true" hidden="false" outlineLevel="0" max="16" min="16" style="0" width="48"/>
  </cols>
  <sheetData>
    <row r="1" customFormat="false" ht="16.15" hidden="false" customHeight="false" outlineLevel="0" collapsed="false">
      <c r="A1" s="1" t="s">
        <v>99</v>
      </c>
    </row>
    <row r="2" customFormat="false" ht="15" hidden="false" customHeight="false" outlineLevel="0" collapsed="false">
      <c r="A2" s="5" t="s">
        <v>100</v>
      </c>
    </row>
    <row r="4" customFormat="false" ht="45" hidden="false" customHeight="true" outlineLevel="0" collapsed="false">
      <c r="A4" s="6" t="s">
        <v>23</v>
      </c>
      <c r="B4" s="6" t="s">
        <v>27</v>
      </c>
      <c r="C4" s="6" t="s">
        <v>101</v>
      </c>
      <c r="D4" s="6" t="s">
        <v>102</v>
      </c>
      <c r="E4" s="6" t="s">
        <v>103</v>
      </c>
      <c r="F4" s="6" t="s">
        <v>104</v>
      </c>
      <c r="G4" s="6" t="s">
        <v>105</v>
      </c>
      <c r="H4" s="6" t="s">
        <v>106</v>
      </c>
      <c r="I4" s="6" t="s">
        <v>107</v>
      </c>
      <c r="J4" s="6" t="s">
        <v>108</v>
      </c>
      <c r="K4" s="6" t="s">
        <v>109</v>
      </c>
      <c r="L4" s="6" t="s">
        <v>110</v>
      </c>
      <c r="M4" s="6" t="s">
        <v>38</v>
      </c>
      <c r="N4" s="6" t="s">
        <v>111</v>
      </c>
      <c r="O4" s="6" t="s">
        <v>112</v>
      </c>
      <c r="P4" s="6" t="s">
        <v>113</v>
      </c>
    </row>
    <row r="5" customFormat="false" ht="23.85" hidden="false" customHeight="false" outlineLevel="0" collapsed="false">
      <c r="A5" s="7" t="s">
        <v>39</v>
      </c>
      <c r="B5" s="7" t="s">
        <v>75</v>
      </c>
      <c r="C5" s="7" t="s">
        <v>74</v>
      </c>
      <c r="D5" s="7"/>
      <c r="E5" s="3" t="s">
        <v>114</v>
      </c>
      <c r="F5" s="11" t="n">
        <f aca="false">Rates_data!P27</f>
        <v>369.77</v>
      </c>
      <c r="G5" s="11" t="n">
        <f aca="false">0</f>
        <v>0</v>
      </c>
      <c r="H5" s="8" t="n">
        <f aca="false">F5+G5</f>
        <v>369.77</v>
      </c>
      <c r="I5" s="11" t="n">
        <f aca="false">IF(Rates_data!S27="","",Rates_data!S27)</f>
        <v>369.81</v>
      </c>
      <c r="J5" s="11" t="n">
        <f aca="false">0</f>
        <v>0</v>
      </c>
      <c r="K5" s="8" t="n">
        <f aca="false">IF(AND(I5&lt;&gt;"",J5&lt;&gt;""),I5+J5,"")</f>
        <v>369.81</v>
      </c>
      <c r="L5" s="10" t="n">
        <f aca="false">IF(K5&lt;&gt;"",K5,H5)</f>
        <v>369.81</v>
      </c>
      <c r="M5" s="7" t="str">
        <f aca="false">IF(K5&lt;&gt;"","median allowed","APC price")</f>
        <v>median allowed</v>
      </c>
      <c r="N5" s="11" t="n">
        <f aca="false">Reference!$C$10</f>
        <v>142.57</v>
      </c>
      <c r="O5" s="10" t="n">
        <f aca="false">L5+N5</f>
        <v>512.38</v>
      </c>
      <c r="P5" s="12" t="s">
        <v>115</v>
      </c>
    </row>
    <row r="6" customFormat="false" ht="23.85" hidden="false" customHeight="false" outlineLevel="0" collapsed="false">
      <c r="A6" s="7" t="s">
        <v>39</v>
      </c>
      <c r="B6" s="7" t="s">
        <v>75</v>
      </c>
      <c r="C6" s="7" t="s">
        <v>74</v>
      </c>
      <c r="D6" s="7"/>
      <c r="E6" s="3" t="s">
        <v>116</v>
      </c>
      <c r="F6" s="11" t="n">
        <f aca="false">Rates_data!P27</f>
        <v>369.77</v>
      </c>
      <c r="G6" s="11" t="n">
        <f aca="false">Reference!$E$20</f>
        <v>135.93</v>
      </c>
      <c r="H6" s="8" t="n">
        <f aca="false">F6+G6</f>
        <v>505.7</v>
      </c>
      <c r="I6" s="11" t="n">
        <f aca="false">IF(Rates_data!S27="","",Rates_data!S27)</f>
        <v>369.81</v>
      </c>
      <c r="K6" s="8" t="str">
        <f aca="false">IF(AND(I6&lt;&gt;"",J6&lt;&gt;""),I6+J6,"")</f>
        <v/>
      </c>
      <c r="L6" s="10" t="n">
        <f aca="false">IF(K6&lt;&gt;"",K6,H6)</f>
        <v>505.7</v>
      </c>
      <c r="M6" s="7" t="str">
        <f aca="false">IF(K6&lt;&gt;"","median allowed","APC price")</f>
        <v>APC price</v>
      </c>
      <c r="N6" s="11" t="n">
        <f aca="false">Reference!$C$10</f>
        <v>142.57</v>
      </c>
      <c r="O6" s="10" t="n">
        <f aca="false">L6+N6</f>
        <v>648.27</v>
      </c>
      <c r="P6" s="12" t="s">
        <v>117</v>
      </c>
    </row>
    <row r="7" customFormat="false" ht="23.85" hidden="false" customHeight="false" outlineLevel="0" collapsed="false">
      <c r="A7" s="7" t="s">
        <v>39</v>
      </c>
      <c r="B7" s="7" t="s">
        <v>75</v>
      </c>
      <c r="C7" s="7" t="s">
        <v>118</v>
      </c>
      <c r="D7" s="7"/>
      <c r="E7" s="3" t="s">
        <v>119</v>
      </c>
      <c r="F7" s="11" t="n">
        <f aca="false">Reference!$E$21</f>
        <v>220.6</v>
      </c>
      <c r="G7" s="11" t="n">
        <f aca="false">0</f>
        <v>0</v>
      </c>
      <c r="H7" s="8" t="n">
        <f aca="false">F7+G7</f>
        <v>220.6</v>
      </c>
      <c r="L7" s="10" t="n">
        <f aca="false">IF(K7&lt;&gt;"",K7,H7)</f>
        <v>220.6</v>
      </c>
      <c r="M7" s="7" t="str">
        <f aca="false">IF(K7&lt;&gt;"","median allowed","APC price")</f>
        <v>APC price</v>
      </c>
      <c r="N7" s="11" t="n">
        <f aca="false">Reference!$C$10</f>
        <v>142.57</v>
      </c>
      <c r="O7" s="10" t="n">
        <f aca="false">L7+N7</f>
        <v>363.17</v>
      </c>
      <c r="P7" s="12" t="s">
        <v>120</v>
      </c>
    </row>
    <row r="8" customFormat="false" ht="15" hidden="false" customHeight="false" outlineLevel="0" collapsed="false">
      <c r="A8" s="7" t="s">
        <v>39</v>
      </c>
      <c r="B8" s="7" t="s">
        <v>75</v>
      </c>
      <c r="C8" s="7" t="s">
        <v>118</v>
      </c>
      <c r="D8" s="7"/>
      <c r="E8" s="3" t="s">
        <v>121</v>
      </c>
      <c r="F8" s="11" t="n">
        <f aca="false">Reference!$E$21</f>
        <v>220.6</v>
      </c>
      <c r="G8" s="11" t="n">
        <f aca="false">Reference!$E$20</f>
        <v>135.93</v>
      </c>
      <c r="H8" s="8" t="n">
        <f aca="false">F8+G8</f>
        <v>356.53</v>
      </c>
      <c r="L8" s="10" t="n">
        <f aca="false">IF(K8&lt;&gt;"",K8,H8)</f>
        <v>356.53</v>
      </c>
      <c r="M8" s="7" t="str">
        <f aca="false">IF(K8&lt;&gt;"","median allowed","APC price")</f>
        <v>APC price</v>
      </c>
      <c r="N8" s="11" t="n">
        <f aca="false">Reference!$C$10</f>
        <v>142.57</v>
      </c>
      <c r="O8" s="10" t="n">
        <f aca="false">L8+N8</f>
        <v>499.1</v>
      </c>
      <c r="P8" s="12" t="s">
        <v>122</v>
      </c>
    </row>
    <row r="9" customFormat="false" ht="15" hidden="false" customHeight="false" outlineLevel="0" collapsed="false">
      <c r="A9" s="7" t="s">
        <v>39</v>
      </c>
      <c r="B9" s="7" t="s">
        <v>43</v>
      </c>
      <c r="C9" s="7" t="s">
        <v>46</v>
      </c>
      <c r="D9" s="7" t="s">
        <v>123</v>
      </c>
      <c r="E9" s="7" t="s">
        <v>124</v>
      </c>
      <c r="F9" s="11" t="n">
        <f aca="false">Rates_data!P12</f>
        <v>801.3</v>
      </c>
      <c r="G9" s="11" t="n">
        <f aca="false">Rates_data!P3</f>
        <v>686.13</v>
      </c>
      <c r="H9" s="8" t="n">
        <f aca="false">F9+G9</f>
        <v>1487.43</v>
      </c>
      <c r="I9" s="11" t="n">
        <f aca="false">IF(Rates_data!S12="","",Rates_data!S12)</f>
        <v>1444.72</v>
      </c>
      <c r="J9" s="11" t="n">
        <f aca="false">IF(Rates_data!S3="","",Rates_data!S3)</f>
        <v>1212.81</v>
      </c>
      <c r="K9" s="8" t="n">
        <f aca="false">IF(AND(I9&lt;&gt;"",J9&lt;&gt;""),I9+J9,"")</f>
        <v>2657.53</v>
      </c>
      <c r="L9" s="10" t="n">
        <f aca="false">IF(K9&lt;&gt;"",K9,H9)</f>
        <v>2657.53</v>
      </c>
      <c r="M9" s="7" t="str">
        <f aca="false">IF(K9&lt;&gt;"","median allowed","negotiated")</f>
        <v>median allowed</v>
      </c>
      <c r="N9" s="11" t="n">
        <f aca="false">Reference!$C$10</f>
        <v>142.57</v>
      </c>
      <c r="O9" s="10" t="n">
        <f aca="false">L9+N9</f>
        <v>2800.1</v>
      </c>
      <c r="P9" s="12"/>
    </row>
    <row r="10" customFormat="false" ht="15" hidden="false" customHeight="false" outlineLevel="0" collapsed="false">
      <c r="A10" s="7" t="s">
        <v>39</v>
      </c>
      <c r="B10" s="7" t="s">
        <v>43</v>
      </c>
      <c r="C10" s="7" t="s">
        <v>48</v>
      </c>
      <c r="D10" s="7" t="s">
        <v>125</v>
      </c>
      <c r="E10" s="7" t="s">
        <v>124</v>
      </c>
      <c r="F10" s="11" t="n">
        <f aca="false">Rates_data!P13</f>
        <v>611.88</v>
      </c>
      <c r="G10" s="11" t="n">
        <f aca="false">Rates_data!P4</f>
        <v>523.94</v>
      </c>
      <c r="H10" s="8" t="n">
        <f aca="false">F10+G10</f>
        <v>1135.82</v>
      </c>
      <c r="I10" s="11" t="n">
        <f aca="false">IF(Rates_data!S13="","",Rates_data!S13)</f>
        <v>587.66</v>
      </c>
      <c r="J10" s="11" t="n">
        <f aca="false">IF(Rates_data!S4="","",Rates_data!S4)</f>
        <v>503.18</v>
      </c>
      <c r="K10" s="8" t="n">
        <f aca="false">IF(AND(I10&lt;&gt;"",J10&lt;&gt;""),I10+J10,"")</f>
        <v>1090.84</v>
      </c>
      <c r="L10" s="10" t="n">
        <f aca="false">IF(K10&lt;&gt;"",K10,H10)</f>
        <v>1090.84</v>
      </c>
      <c r="M10" s="7" t="str">
        <f aca="false">IF(K10&lt;&gt;"","median allowed","negotiated")</f>
        <v>median allowed</v>
      </c>
      <c r="N10" s="11" t="n">
        <f aca="false">Reference!$C$10</f>
        <v>142.57</v>
      </c>
      <c r="O10" s="10" t="n">
        <f aca="false">L10+N10</f>
        <v>1233.41</v>
      </c>
      <c r="P10" s="12"/>
    </row>
    <row r="11" customFormat="false" ht="15" hidden="false" customHeight="false" outlineLevel="0" collapsed="false">
      <c r="A11" s="7" t="s">
        <v>39</v>
      </c>
      <c r="B11" s="7" t="s">
        <v>43</v>
      </c>
      <c r="C11" s="7" t="s">
        <v>50</v>
      </c>
      <c r="D11" s="7" t="s">
        <v>126</v>
      </c>
      <c r="E11" s="7" t="s">
        <v>124</v>
      </c>
      <c r="F11" s="11" t="n">
        <f aca="false">Rates_data!P14</f>
        <v>912.66</v>
      </c>
      <c r="G11" s="11" t="n">
        <f aca="false">Rates_data!P5</f>
        <v>781.49</v>
      </c>
      <c r="H11" s="8" t="n">
        <f aca="false">F11+G11</f>
        <v>1694.15</v>
      </c>
      <c r="I11" s="11" t="n">
        <f aca="false">IF(Rates_data!S14="","",Rates_data!S14)</f>
        <v>875.93</v>
      </c>
      <c r="J11" s="11" t="n">
        <f aca="false">IF(Rates_data!S5="","",Rates_data!S5)</f>
        <v>750.01</v>
      </c>
      <c r="K11" s="8" t="n">
        <f aca="false">IF(AND(I11&lt;&gt;"",J11&lt;&gt;""),I11+J11,"")</f>
        <v>1625.94</v>
      </c>
      <c r="L11" s="10" t="n">
        <f aca="false">IF(K11&lt;&gt;"",K11,H11)</f>
        <v>1625.94</v>
      </c>
      <c r="M11" s="7" t="str">
        <f aca="false">IF(K11&lt;&gt;"","median allowed","negotiated")</f>
        <v>median allowed</v>
      </c>
      <c r="N11" s="11" t="n">
        <f aca="false">Reference!$C$10</f>
        <v>142.57</v>
      </c>
      <c r="O11" s="10" t="n">
        <f aca="false">L11+N11</f>
        <v>1768.51</v>
      </c>
      <c r="P11" s="12"/>
    </row>
    <row r="12" customFormat="false" ht="15" hidden="false" customHeight="false" outlineLevel="0" collapsed="false">
      <c r="A12" s="7" t="s">
        <v>39</v>
      </c>
      <c r="B12" s="7" t="s">
        <v>43</v>
      </c>
      <c r="C12" s="7" t="s">
        <v>52</v>
      </c>
      <c r="D12" s="7" t="s">
        <v>127</v>
      </c>
      <c r="E12" s="7" t="s">
        <v>124</v>
      </c>
      <c r="F12" s="11" t="n">
        <f aca="false">Rates_data!P15</f>
        <v>746.2</v>
      </c>
      <c r="G12" s="11" t="n">
        <f aca="false">Rates_data!P6</f>
        <v>638.95</v>
      </c>
      <c r="H12" s="8" t="n">
        <f aca="false">F12+G12</f>
        <v>1385.15</v>
      </c>
      <c r="I12" s="11" t="n">
        <f aca="false">IF(Rates_data!S15="","",Rates_data!S15)</f>
        <v>723.45</v>
      </c>
      <c r="J12" s="11" t="n">
        <f aca="false">IF(Rates_data!S6="","",Rates_data!S6)</f>
        <v>619.45</v>
      </c>
      <c r="K12" s="8" t="n">
        <f aca="false">IF(AND(I12&lt;&gt;"",J12&lt;&gt;""),I12+J12,"")</f>
        <v>1342.9</v>
      </c>
      <c r="L12" s="10" t="n">
        <f aca="false">IF(K12&lt;&gt;"",K12,H12)</f>
        <v>1342.9</v>
      </c>
      <c r="M12" s="7" t="str">
        <f aca="false">IF(K12&lt;&gt;"","median allowed","negotiated")</f>
        <v>median allowed</v>
      </c>
      <c r="N12" s="11" t="n">
        <f aca="false">Reference!$C$10</f>
        <v>142.57</v>
      </c>
      <c r="O12" s="10" t="n">
        <f aca="false">L12+N12</f>
        <v>1485.47</v>
      </c>
      <c r="P12" s="12"/>
    </row>
    <row r="13" customFormat="false" ht="15" hidden="false" customHeight="false" outlineLevel="0" collapsed="false">
      <c r="A13" s="7" t="s">
        <v>39</v>
      </c>
      <c r="B13" s="7" t="s">
        <v>43</v>
      </c>
      <c r="C13" s="7" t="s">
        <v>54</v>
      </c>
      <c r="D13" s="7" t="s">
        <v>128</v>
      </c>
      <c r="E13" s="7" t="s">
        <v>124</v>
      </c>
      <c r="F13" s="11" t="n">
        <f aca="false">Rates_data!P16</f>
        <v>419.02</v>
      </c>
      <c r="G13" s="11" t="n">
        <f aca="false">Rates_data!P7</f>
        <v>358.8</v>
      </c>
      <c r="H13" s="8" t="n">
        <f aca="false">F13+G13</f>
        <v>777.82</v>
      </c>
      <c r="I13" s="11" t="n">
        <f aca="false">IF(Rates_data!S16="","",Rates_data!S16)</f>
        <v>415.15</v>
      </c>
      <c r="J13" s="11" t="n">
        <f aca="false">IF(Rates_data!S7="","",Rates_data!S7)</f>
        <v>355.47</v>
      </c>
      <c r="K13" s="8" t="n">
        <f aca="false">IF(AND(I13&lt;&gt;"",J13&lt;&gt;""),I13+J13,"")</f>
        <v>770.62</v>
      </c>
      <c r="L13" s="10" t="n">
        <f aca="false">IF(K13&lt;&gt;"",K13,H13)</f>
        <v>770.62</v>
      </c>
      <c r="M13" s="7" t="str">
        <f aca="false">IF(K13&lt;&gt;"","median allowed","negotiated")</f>
        <v>median allowed</v>
      </c>
      <c r="N13" s="11" t="n">
        <f aca="false">Reference!$C$10</f>
        <v>142.57</v>
      </c>
      <c r="O13" s="10" t="n">
        <f aca="false">L13+N13</f>
        <v>913.19</v>
      </c>
      <c r="P13" s="12"/>
    </row>
    <row r="14" customFormat="false" ht="15" hidden="false" customHeight="false" outlineLevel="0" collapsed="false">
      <c r="A14" s="7" t="s">
        <v>39</v>
      </c>
      <c r="B14" s="7" t="s">
        <v>43</v>
      </c>
      <c r="C14" s="7" t="s">
        <v>54</v>
      </c>
      <c r="D14" s="7" t="s">
        <v>129</v>
      </c>
      <c r="E14" s="7" t="s">
        <v>124</v>
      </c>
      <c r="F14" s="11" t="n">
        <f aca="false">Rates_data!P17</f>
        <v>439.68</v>
      </c>
      <c r="G14" s="11" t="n">
        <f aca="false">Rates_data!P8</f>
        <v>376.49</v>
      </c>
      <c r="H14" s="8" t="n">
        <f aca="false">F14+G14</f>
        <v>816.17</v>
      </c>
      <c r="I14" s="11" t="n">
        <f aca="false">IF(Rates_data!S17="","",Rates_data!S17)</f>
        <v>435.18</v>
      </c>
      <c r="J14" s="11" t="n">
        <f aca="false">IF(Rates_data!S8="","",Rates_data!S8)</f>
        <v>372.62</v>
      </c>
      <c r="K14" s="8" t="n">
        <f aca="false">IF(AND(I14&lt;&gt;"",J14&lt;&gt;""),I14+J14,"")</f>
        <v>807.8</v>
      </c>
      <c r="L14" s="10" t="n">
        <f aca="false">IF(K14&lt;&gt;"",K14,H14)</f>
        <v>807.8</v>
      </c>
      <c r="M14" s="7" t="str">
        <f aca="false">IF(K14&lt;&gt;"","median allowed","negotiated")</f>
        <v>median allowed</v>
      </c>
      <c r="N14" s="11" t="n">
        <f aca="false">Reference!$C$10</f>
        <v>142.57</v>
      </c>
      <c r="O14" s="10" t="n">
        <f aca="false">L14+N14</f>
        <v>950.37</v>
      </c>
      <c r="P14" s="12"/>
    </row>
    <row r="15" customFormat="false" ht="15" hidden="false" customHeight="false" outlineLevel="0" collapsed="false">
      <c r="A15" s="7" t="s">
        <v>39</v>
      </c>
      <c r="B15" s="7" t="s">
        <v>43</v>
      </c>
      <c r="C15" s="7" t="s">
        <v>41</v>
      </c>
      <c r="D15" s="7" t="s">
        <v>130</v>
      </c>
      <c r="E15" s="7" t="s">
        <v>124</v>
      </c>
      <c r="F15" s="11" t="n">
        <f aca="false">Rates_data!P18</f>
        <v>492.49</v>
      </c>
      <c r="G15" s="11" t="n">
        <f aca="false">Rates_data!P9</f>
        <v>421.71</v>
      </c>
      <c r="H15" s="8" t="n">
        <f aca="false">F15+G15</f>
        <v>914.2</v>
      </c>
      <c r="I15" s="11" t="n">
        <f aca="false">IF(Rates_data!S18="","",Rates_data!S18)</f>
        <v>889.73</v>
      </c>
      <c r="J15" s="11" t="n">
        <f aca="false">IF(Rates_data!S9="","",Rates_data!S9)</f>
        <v>761.83</v>
      </c>
      <c r="K15" s="8" t="n">
        <f aca="false">IF(AND(I15&lt;&gt;"",J15&lt;&gt;""),I15+J15,"")</f>
        <v>1651.56</v>
      </c>
      <c r="L15" s="10" t="n">
        <f aca="false">IF(K15&lt;&gt;"",K15,H15)</f>
        <v>1651.56</v>
      </c>
      <c r="M15" s="7" t="str">
        <f aca="false">IF(K15&lt;&gt;"","median allowed","negotiated")</f>
        <v>median allowed</v>
      </c>
      <c r="N15" s="11" t="n">
        <f aca="false">Reference!$C$10</f>
        <v>142.57</v>
      </c>
      <c r="O15" s="10" t="n">
        <f aca="false">L15+N15</f>
        <v>1794.13</v>
      </c>
      <c r="P15" s="12"/>
    </row>
    <row r="16" customFormat="false" ht="15" hidden="false" customHeight="false" outlineLevel="0" collapsed="false">
      <c r="A16" s="7" t="s">
        <v>39</v>
      </c>
      <c r="B16" s="7" t="s">
        <v>43</v>
      </c>
      <c r="C16" s="7" t="s">
        <v>41</v>
      </c>
      <c r="D16" s="7" t="s">
        <v>131</v>
      </c>
      <c r="E16" s="7" t="s">
        <v>124</v>
      </c>
      <c r="F16" s="11" t="n">
        <f aca="false">Rates_data!P19</f>
        <v>938.15</v>
      </c>
      <c r="G16" s="11" t="n">
        <f aca="false">Rates_data!P10</f>
        <v>803.31</v>
      </c>
      <c r="H16" s="8" t="n">
        <f aca="false">F16+G16</f>
        <v>1741.46</v>
      </c>
      <c r="I16" s="11" t="n">
        <f aca="false">IF(Rates_data!S19="","",Rates_data!S19)</f>
        <v>889.73</v>
      </c>
      <c r="J16" s="11" t="n">
        <f aca="false">IF(Rates_data!S10="","",Rates_data!S10)</f>
        <v>761.83</v>
      </c>
      <c r="K16" s="8" t="n">
        <f aca="false">IF(AND(I16&lt;&gt;"",J16&lt;&gt;""),I16+J16,"")</f>
        <v>1651.56</v>
      </c>
      <c r="L16" s="10" t="n">
        <f aca="false">IF(K16&lt;&gt;"",K16,H16)</f>
        <v>1651.56</v>
      </c>
      <c r="M16" s="7" t="str">
        <f aca="false">IF(K16&lt;&gt;"","median allowed","negotiated")</f>
        <v>median allowed</v>
      </c>
      <c r="N16" s="11" t="n">
        <f aca="false">Reference!$C$10</f>
        <v>142.57</v>
      </c>
      <c r="O16" s="10" t="n">
        <f aca="false">L16+N16</f>
        <v>1794.13</v>
      </c>
      <c r="P16" s="12"/>
    </row>
    <row r="17" customFormat="false" ht="15" hidden="false" customHeight="false" outlineLevel="0" collapsed="false">
      <c r="A17" s="7" t="s">
        <v>39</v>
      </c>
      <c r="B17" s="7" t="s">
        <v>43</v>
      </c>
      <c r="C17" s="7" t="s">
        <v>58</v>
      </c>
      <c r="D17" s="7" t="s">
        <v>132</v>
      </c>
      <c r="E17" s="7" t="s">
        <v>124</v>
      </c>
      <c r="F17" s="11" t="n">
        <f aca="false">Rates_data!P20</f>
        <v>846.99</v>
      </c>
      <c r="G17" s="11" t="n">
        <f aca="false">Rates_data!P11</f>
        <v>725.26</v>
      </c>
      <c r="H17" s="8" t="n">
        <f aca="false">F17+G17</f>
        <v>1572.25</v>
      </c>
      <c r="I17" s="11" t="n">
        <f aca="false">IF(Rates_data!S20="","",Rates_data!S20)</f>
        <v>828.63</v>
      </c>
      <c r="J17" s="11" t="n">
        <f aca="false">IF(Rates_data!S11="","",Rates_data!S11)</f>
        <v>709.51</v>
      </c>
      <c r="K17" s="8" t="n">
        <f aca="false">IF(AND(I17&lt;&gt;"",J17&lt;&gt;""),I17+J17,"")</f>
        <v>1538.14</v>
      </c>
      <c r="L17" s="10" t="n">
        <f aca="false">IF(K17&lt;&gt;"",K17,H17)</f>
        <v>1538.14</v>
      </c>
      <c r="M17" s="7" t="str">
        <f aca="false">IF(K17&lt;&gt;"","median allowed","negotiated")</f>
        <v>median allowed</v>
      </c>
      <c r="N17" s="11" t="n">
        <f aca="false">Reference!$C$10</f>
        <v>142.57</v>
      </c>
      <c r="O17" s="10" t="n">
        <f aca="false">L17+N17</f>
        <v>1680.71</v>
      </c>
      <c r="P17" s="12"/>
    </row>
    <row r="18" customFormat="false" ht="23.85" hidden="false" customHeight="false" outlineLevel="0" collapsed="false">
      <c r="A18" s="7" t="s">
        <v>79</v>
      </c>
      <c r="B18" s="7" t="s">
        <v>75</v>
      </c>
      <c r="C18" s="7" t="s">
        <v>74</v>
      </c>
      <c r="D18" s="7"/>
      <c r="E18" s="3" t="s">
        <v>114</v>
      </c>
      <c r="F18" s="11" t="n">
        <f aca="false">Rates_data!P53</f>
        <v>369.81</v>
      </c>
      <c r="G18" s="11" t="n">
        <f aca="false">0</f>
        <v>0</v>
      </c>
      <c r="H18" s="8" t="n">
        <f aca="false">F18+G18</f>
        <v>369.81</v>
      </c>
      <c r="I18" s="11" t="n">
        <f aca="false">IF(Rates_data!S53="","",Rates_data!S53)</f>
        <v>369.81</v>
      </c>
      <c r="J18" s="11" t="n">
        <f aca="false">0</f>
        <v>0</v>
      </c>
      <c r="K18" s="8" t="n">
        <f aca="false">IF(AND(I18&lt;&gt;"",J18&lt;&gt;""),I18+J18,"")</f>
        <v>369.81</v>
      </c>
      <c r="L18" s="10" t="n">
        <f aca="false">IF(K18&lt;&gt;"",K18,H18)</f>
        <v>369.81</v>
      </c>
      <c r="M18" s="7" t="str">
        <f aca="false">IF(K18&lt;&gt;"","median allowed","APC price")</f>
        <v>median allowed</v>
      </c>
      <c r="N18" s="11" t="n">
        <f aca="false">Reference!$C$10</f>
        <v>142.57</v>
      </c>
      <c r="O18" s="10" t="n">
        <f aca="false">L18+N18</f>
        <v>512.38</v>
      </c>
      <c r="P18" s="12" t="s">
        <v>115</v>
      </c>
    </row>
    <row r="19" customFormat="false" ht="23.85" hidden="false" customHeight="false" outlineLevel="0" collapsed="false">
      <c r="A19" s="7" t="s">
        <v>79</v>
      </c>
      <c r="B19" s="7" t="s">
        <v>75</v>
      </c>
      <c r="C19" s="7" t="s">
        <v>74</v>
      </c>
      <c r="D19" s="7"/>
      <c r="E19" s="3" t="s">
        <v>133</v>
      </c>
      <c r="F19" s="11" t="n">
        <f aca="false">Rates_data!P53</f>
        <v>369.81</v>
      </c>
      <c r="G19" s="11" t="n">
        <f aca="false">Rates_data!P40</f>
        <v>153.08</v>
      </c>
      <c r="H19" s="8" t="n">
        <f aca="false">F19+G19</f>
        <v>522.89</v>
      </c>
      <c r="I19" s="11" t="n">
        <f aca="false">IF(Rates_data!S53="","",Rates_data!S53)</f>
        <v>369.81</v>
      </c>
      <c r="J19" s="11" t="n">
        <f aca="false">IF(Rates_data!S40="","",Rates_data!S40)</f>
        <v>306.16</v>
      </c>
      <c r="K19" s="8" t="n">
        <f aca="false">IF(AND(I19&lt;&gt;"",J19&lt;&gt;""),I19+J19,"")</f>
        <v>675.97</v>
      </c>
      <c r="L19" s="10" t="n">
        <f aca="false">IF(K19&lt;&gt;"",K19,H19)</f>
        <v>675.97</v>
      </c>
      <c r="M19" s="7" t="str">
        <f aca="false">IF(K19&lt;&gt;"","median allowed","APC price")</f>
        <v>median allowed</v>
      </c>
      <c r="N19" s="11" t="n">
        <f aca="false">Reference!$C$10</f>
        <v>142.57</v>
      </c>
      <c r="O19" s="10" t="n">
        <f aca="false">L19+N19</f>
        <v>818.54</v>
      </c>
      <c r="P19" s="12" t="s">
        <v>134</v>
      </c>
    </row>
    <row r="20" customFormat="false" ht="23.85" hidden="false" customHeight="false" outlineLevel="0" collapsed="false">
      <c r="A20" s="7" t="s">
        <v>79</v>
      </c>
      <c r="B20" s="7" t="s">
        <v>75</v>
      </c>
      <c r="C20" s="7" t="s">
        <v>118</v>
      </c>
      <c r="D20" s="7"/>
      <c r="E20" s="3" t="s">
        <v>119</v>
      </c>
      <c r="F20" s="11" t="n">
        <f aca="false">Reference!$E$21</f>
        <v>220.6</v>
      </c>
      <c r="G20" s="11" t="n">
        <f aca="false">0</f>
        <v>0</v>
      </c>
      <c r="H20" s="8" t="n">
        <f aca="false">F20+G20</f>
        <v>220.6</v>
      </c>
      <c r="L20" s="10" t="n">
        <f aca="false">IF(K20&lt;&gt;"",K20,H20)</f>
        <v>220.6</v>
      </c>
      <c r="M20" s="7" t="str">
        <f aca="false">IF(K20&lt;&gt;"","median allowed","APC price")</f>
        <v>APC price</v>
      </c>
      <c r="N20" s="11" t="n">
        <f aca="false">Reference!$C$10</f>
        <v>142.57</v>
      </c>
      <c r="O20" s="10" t="n">
        <f aca="false">L20+N20</f>
        <v>363.17</v>
      </c>
      <c r="P20" s="12" t="s">
        <v>120</v>
      </c>
    </row>
    <row r="21" customFormat="false" ht="15" hidden="false" customHeight="false" outlineLevel="0" collapsed="false">
      <c r="A21" s="7" t="s">
        <v>79</v>
      </c>
      <c r="B21" s="7" t="s">
        <v>75</v>
      </c>
      <c r="C21" s="7" t="s">
        <v>118</v>
      </c>
      <c r="D21" s="7"/>
      <c r="E21" s="3" t="s">
        <v>121</v>
      </c>
      <c r="F21" s="11" t="n">
        <f aca="false">Reference!$E$21</f>
        <v>220.6</v>
      </c>
      <c r="G21" s="11" t="n">
        <f aca="false">Reference!$E$20</f>
        <v>135.93</v>
      </c>
      <c r="H21" s="8" t="n">
        <f aca="false">F21+G21</f>
        <v>356.53</v>
      </c>
      <c r="L21" s="10" t="n">
        <f aca="false">IF(K21&lt;&gt;"",K21,H21)</f>
        <v>356.53</v>
      </c>
      <c r="M21" s="7" t="str">
        <f aca="false">IF(K21&lt;&gt;"","median allowed","APC price")</f>
        <v>APC price</v>
      </c>
      <c r="N21" s="11" t="n">
        <f aca="false">Reference!$C$10</f>
        <v>142.57</v>
      </c>
      <c r="O21" s="10" t="n">
        <f aca="false">L21+N21</f>
        <v>499.1</v>
      </c>
      <c r="P21" s="12" t="s">
        <v>122</v>
      </c>
    </row>
    <row r="22" customFormat="false" ht="15" hidden="false" customHeight="false" outlineLevel="0" collapsed="false">
      <c r="A22" s="7" t="s">
        <v>79</v>
      </c>
      <c r="B22" s="7" t="s">
        <v>43</v>
      </c>
      <c r="C22" s="7" t="s">
        <v>50</v>
      </c>
      <c r="D22" s="7" t="s">
        <v>135</v>
      </c>
      <c r="E22" s="7" t="s">
        <v>124</v>
      </c>
      <c r="F22" s="11" t="n">
        <f aca="false">Rates_data!P41</f>
        <v>479.74</v>
      </c>
      <c r="G22" s="11" t="n">
        <f aca="false">Rates_data!P33</f>
        <v>412.73</v>
      </c>
      <c r="H22" s="8" t="n">
        <f aca="false">F22+G22</f>
        <v>892.47</v>
      </c>
      <c r="I22" s="11" t="n">
        <f aca="false">IF(Rates_data!S41="","",Rates_data!S41)</f>
        <v>461.18</v>
      </c>
      <c r="J22" s="11" t="n">
        <f aca="false">IF(Rates_data!S33="","",Rates_data!S33)</f>
        <v>396.72</v>
      </c>
      <c r="K22" s="8" t="n">
        <f aca="false">IF(AND(I22&lt;&gt;"",J22&lt;&gt;""),I22+J22,"")</f>
        <v>857.9</v>
      </c>
      <c r="L22" s="10" t="n">
        <f aca="false">IF(K22&lt;&gt;"",K22,H22)</f>
        <v>857.9</v>
      </c>
      <c r="M22" s="7" t="str">
        <f aca="false">IF(K22&lt;&gt;"","median allowed","negotiated")</f>
        <v>median allowed</v>
      </c>
      <c r="N22" s="11" t="n">
        <f aca="false">Reference!$C$10</f>
        <v>142.57</v>
      </c>
      <c r="O22" s="10" t="n">
        <f aca="false">L22+N22</f>
        <v>1000.47</v>
      </c>
      <c r="P22" s="12"/>
    </row>
    <row r="23" customFormat="false" ht="15" hidden="false" customHeight="false" outlineLevel="0" collapsed="false">
      <c r="A23" s="7" t="s">
        <v>79</v>
      </c>
      <c r="B23" s="7" t="s">
        <v>43</v>
      </c>
      <c r="C23" s="7" t="s">
        <v>81</v>
      </c>
      <c r="D23" s="7" t="s">
        <v>136</v>
      </c>
      <c r="E23" s="7" t="s">
        <v>124</v>
      </c>
      <c r="F23" s="11" t="n">
        <f aca="false">Rates_data!P42</f>
        <v>590.57</v>
      </c>
      <c r="G23" s="11" t="n">
        <f aca="false">Rates_data!P34</f>
        <v>508.08</v>
      </c>
      <c r="H23" s="8" t="n">
        <f aca="false">F23+G23</f>
        <v>1098.65</v>
      </c>
      <c r="I23" s="11" t="n">
        <f aca="false">IF(Rates_data!S42="","",Rates_data!S42)</f>
        <v>574.51</v>
      </c>
      <c r="J23" s="11" t="n">
        <f aca="false">IF(Rates_data!S34="","",Rates_data!S34)</f>
        <v>494.21</v>
      </c>
      <c r="K23" s="8" t="n">
        <f aca="false">IF(AND(I23&lt;&gt;"",J23&lt;&gt;""),I23+J23,"")</f>
        <v>1068.72</v>
      </c>
      <c r="L23" s="10" t="n">
        <f aca="false">IF(K23&lt;&gt;"",K23,H23)</f>
        <v>1068.72</v>
      </c>
      <c r="M23" s="7" t="str">
        <f aca="false">IF(K23&lt;&gt;"","median allowed","negotiated")</f>
        <v>median allowed</v>
      </c>
      <c r="N23" s="11" t="n">
        <f aca="false">Reference!$C$10</f>
        <v>142.57</v>
      </c>
      <c r="O23" s="10" t="n">
        <f aca="false">L23+N23</f>
        <v>1211.29</v>
      </c>
      <c r="P23" s="12"/>
    </row>
    <row r="24" customFormat="false" ht="15" hidden="false" customHeight="false" outlineLevel="0" collapsed="false">
      <c r="A24" s="7" t="s">
        <v>79</v>
      </c>
      <c r="B24" s="7" t="s">
        <v>43</v>
      </c>
      <c r="C24" s="7" t="s">
        <v>41</v>
      </c>
      <c r="D24" s="7" t="s">
        <v>130</v>
      </c>
      <c r="E24" s="7" t="s">
        <v>124</v>
      </c>
      <c r="F24" s="11" t="n">
        <f aca="false">Rates_data!P43</f>
        <v>359.6</v>
      </c>
      <c r="G24" s="11" t="n">
        <f aca="false">Rates_data!P35</f>
        <v>309.37</v>
      </c>
      <c r="H24" s="8" t="n">
        <f aca="false">F24+G24</f>
        <v>668.97</v>
      </c>
      <c r="I24" s="11" t="n">
        <f aca="false">IF(Rates_data!S43="","",Rates_data!S43)</f>
        <v>358.56</v>
      </c>
      <c r="J24" s="11" t="n">
        <f aca="false">IF(Rates_data!S35="","",Rates_data!S35)</f>
        <v>308.44</v>
      </c>
      <c r="K24" s="8" t="n">
        <f aca="false">IF(AND(I24&lt;&gt;"",J24&lt;&gt;""),I24+J24,"")</f>
        <v>667</v>
      </c>
      <c r="L24" s="10" t="n">
        <f aca="false">IF(K24&lt;&gt;"",K24,H24)</f>
        <v>667</v>
      </c>
      <c r="M24" s="7" t="str">
        <f aca="false">IF(K24&lt;&gt;"","median allowed","negotiated")</f>
        <v>median allowed</v>
      </c>
      <c r="N24" s="11" t="n">
        <f aca="false">Reference!$C$10</f>
        <v>142.57</v>
      </c>
      <c r="O24" s="10" t="n">
        <f aca="false">L24+N24</f>
        <v>809.57</v>
      </c>
      <c r="P24" s="12"/>
    </row>
    <row r="25" customFormat="false" ht="15" hidden="false" customHeight="false" outlineLevel="0" collapsed="false">
      <c r="A25" s="7" t="s">
        <v>79</v>
      </c>
      <c r="B25" s="7" t="s">
        <v>43</v>
      </c>
      <c r="C25" s="7" t="s">
        <v>41</v>
      </c>
      <c r="D25" s="7" t="s">
        <v>137</v>
      </c>
      <c r="E25" s="7" t="s">
        <v>124</v>
      </c>
      <c r="F25" s="11" t="n">
        <f aca="false">Rates_data!P44</f>
        <v>634.66</v>
      </c>
      <c r="G25" s="11" t="n">
        <f aca="false">Rates_data!P36</f>
        <v>546.01</v>
      </c>
      <c r="H25" s="8" t="n">
        <f aca="false">F25+G25</f>
        <v>1180.67</v>
      </c>
      <c r="I25" s="11" t="n">
        <f aca="false">IF(Rates_data!S44="","",Rates_data!S44)</f>
        <v>605.05</v>
      </c>
      <c r="J25" s="11" t="n">
        <f aca="false">IF(Rates_data!S36="","",Rates_data!S36)</f>
        <v>520.48</v>
      </c>
      <c r="K25" s="8" t="n">
        <f aca="false">IF(AND(I25&lt;&gt;"",J25&lt;&gt;""),I25+J25,"")</f>
        <v>1125.53</v>
      </c>
      <c r="L25" s="10" t="n">
        <f aca="false">IF(K25&lt;&gt;"",K25,H25)</f>
        <v>1125.53</v>
      </c>
      <c r="M25" s="7" t="str">
        <f aca="false">IF(K25&lt;&gt;"","median allowed","negotiated")</f>
        <v>median allowed</v>
      </c>
      <c r="N25" s="11" t="n">
        <f aca="false">Reference!$C$10</f>
        <v>142.57</v>
      </c>
      <c r="O25" s="10" t="n">
        <f aca="false">L25+N25</f>
        <v>1268.1</v>
      </c>
      <c r="P25" s="12"/>
    </row>
    <row r="26" customFormat="false" ht="15" hidden="false" customHeight="false" outlineLevel="0" collapsed="false">
      <c r="A26" s="7" t="s">
        <v>79</v>
      </c>
      <c r="B26" s="7" t="s">
        <v>43</v>
      </c>
      <c r="C26" s="7" t="s">
        <v>58</v>
      </c>
      <c r="D26" s="7" t="s">
        <v>138</v>
      </c>
      <c r="E26" s="7" t="s">
        <v>124</v>
      </c>
      <c r="F26" s="11" t="n">
        <f aca="false">Rates_data!P45</f>
        <v>630.29</v>
      </c>
      <c r="G26" s="11" t="n">
        <f aca="false">Rates_data!P37</f>
        <v>542.25</v>
      </c>
      <c r="H26" s="8" t="n">
        <f aca="false">F26+G26</f>
        <v>1172.54</v>
      </c>
      <c r="I26" s="11" t="n">
        <f aca="false">IF(Rates_data!S45="","",Rates_data!S45)</f>
        <v>787</v>
      </c>
      <c r="J26" s="11" t="n">
        <f aca="false">IF(Rates_data!S37="","",Rates_data!S37)</f>
        <v>677</v>
      </c>
      <c r="K26" s="8" t="n">
        <f aca="false">IF(AND(I26&lt;&gt;"",J26&lt;&gt;""),I26+J26,"")</f>
        <v>1464</v>
      </c>
      <c r="L26" s="10" t="n">
        <f aca="false">IF(K26&lt;&gt;"",K26,H26)</f>
        <v>1464</v>
      </c>
      <c r="M26" s="7" t="str">
        <f aca="false">IF(K26&lt;&gt;"","median allowed","negotiated")</f>
        <v>median allowed</v>
      </c>
      <c r="N26" s="11" t="n">
        <f aca="false">Reference!$C$10</f>
        <v>142.57</v>
      </c>
      <c r="O26" s="10" t="n">
        <f aca="false">L26+N26</f>
        <v>1606.57</v>
      </c>
      <c r="P26" s="12"/>
    </row>
    <row r="27" customFormat="false" ht="15" hidden="false" customHeight="false" outlineLevel="0" collapsed="false">
      <c r="A27" s="7" t="s">
        <v>79</v>
      </c>
      <c r="B27" s="7" t="s">
        <v>68</v>
      </c>
      <c r="C27" s="7" t="s">
        <v>66</v>
      </c>
      <c r="D27" s="7" t="s">
        <v>139</v>
      </c>
      <c r="E27" s="7" t="s">
        <v>124</v>
      </c>
      <c r="F27" s="11" t="n">
        <f aca="false">Rates_data!P46</f>
        <v>369.81</v>
      </c>
      <c r="G27" s="11" t="n">
        <f aca="false">Rates_data!P38</f>
        <v>153.08</v>
      </c>
      <c r="H27" s="8" t="n">
        <f aca="false">F27+G27</f>
        <v>522.89</v>
      </c>
      <c r="I27" s="11" t="n">
        <f aca="false">IF(Rates_data!S46="","",Rates_data!S46)</f>
        <v>363.89</v>
      </c>
      <c r="J27" s="11" t="n">
        <f aca="false">IF(Rates_data!S38="","",Rates_data!S38)</f>
        <v>171.01</v>
      </c>
      <c r="K27" s="8" t="n">
        <f aca="false">IF(AND(I27&lt;&gt;"",J27&lt;&gt;""),I27+J27,"")</f>
        <v>534.9</v>
      </c>
      <c r="L27" s="10" t="n">
        <f aca="false">IF(K27&lt;&gt;"",K27,H27)</f>
        <v>534.9</v>
      </c>
      <c r="M27" s="7" t="str">
        <f aca="false">IF(K27&lt;&gt;"","median allowed","negotiated")</f>
        <v>median allowed</v>
      </c>
      <c r="N27" s="11" t="n">
        <f aca="false">Reference!$C$10</f>
        <v>142.57</v>
      </c>
      <c r="O27" s="10" t="n">
        <f aca="false">L27+N27</f>
        <v>677.47</v>
      </c>
      <c r="P27" s="12" t="s">
        <v>140</v>
      </c>
    </row>
    <row r="28" customFormat="false" ht="15" hidden="false" customHeight="false" outlineLevel="0" collapsed="false">
      <c r="A28" s="7" t="s">
        <v>79</v>
      </c>
      <c r="B28" s="7" t="s">
        <v>68</v>
      </c>
      <c r="C28" s="7" t="s">
        <v>84</v>
      </c>
      <c r="D28" s="7" t="s">
        <v>139</v>
      </c>
      <c r="E28" s="7" t="s">
        <v>124</v>
      </c>
      <c r="F28" s="11" t="n">
        <f aca="false">Rates_data!P47</f>
        <v>369.81</v>
      </c>
      <c r="G28" s="11" t="n">
        <f aca="false">Rates_data!P39</f>
        <v>153.08</v>
      </c>
      <c r="H28" s="8" t="n">
        <f aca="false">F28+G28</f>
        <v>522.89</v>
      </c>
      <c r="I28" s="11" t="n">
        <f aca="false">IF(Rates_data!S47="","",Rates_data!S47)</f>
        <v>366.63</v>
      </c>
      <c r="J28" s="11" t="n">
        <f aca="false">IF(Rates_data!S39="","",Rates_data!S39)</f>
        <v>168.27</v>
      </c>
      <c r="K28" s="8" t="n">
        <f aca="false">IF(AND(I28&lt;&gt;"",J28&lt;&gt;""),I28+J28,"")</f>
        <v>534.9</v>
      </c>
      <c r="L28" s="10" t="n">
        <f aca="false">IF(K28&lt;&gt;"",K28,H28)</f>
        <v>534.9</v>
      </c>
      <c r="M28" s="7" t="str">
        <f aca="false">IF(K28&lt;&gt;"","median allowed","negotiated")</f>
        <v>median allowed</v>
      </c>
      <c r="N28" s="11" t="n">
        <f aca="false">Reference!$C$10</f>
        <v>142.57</v>
      </c>
      <c r="O28" s="10" t="n">
        <f aca="false">L28+N28</f>
        <v>677.47</v>
      </c>
      <c r="P28" s="12" t="s">
        <v>140</v>
      </c>
    </row>
    <row r="29" customFormat="false" ht="23.85" hidden="false" customHeight="false" outlineLevel="0" collapsed="false">
      <c r="A29" s="7" t="s">
        <v>91</v>
      </c>
      <c r="B29" s="7" t="s">
        <v>75</v>
      </c>
      <c r="C29" s="7" t="s">
        <v>118</v>
      </c>
      <c r="D29" s="7"/>
      <c r="E29" s="3" t="s">
        <v>119</v>
      </c>
      <c r="F29" s="11" t="n">
        <f aca="false">Reference!$E$21</f>
        <v>220.6</v>
      </c>
      <c r="G29" s="11" t="n">
        <f aca="false">0</f>
        <v>0</v>
      </c>
      <c r="H29" s="8" t="n">
        <f aca="false">F29+G29</f>
        <v>220.6</v>
      </c>
      <c r="L29" s="10" t="n">
        <f aca="false">IF(K29&lt;&gt;"",K29,H29)</f>
        <v>220.6</v>
      </c>
      <c r="M29" s="7" t="str">
        <f aca="false">IF(K29&lt;&gt;"","median allowed","APC price")</f>
        <v>APC price</v>
      </c>
      <c r="N29" s="11" t="n">
        <f aca="false">Reference!$C$10</f>
        <v>142.57</v>
      </c>
      <c r="O29" s="10" t="n">
        <f aca="false">L29+N29</f>
        <v>363.17</v>
      </c>
      <c r="P29" s="12" t="s">
        <v>120</v>
      </c>
    </row>
    <row r="30" customFormat="false" ht="15" hidden="false" customHeight="false" outlineLevel="0" collapsed="false">
      <c r="A30" s="7" t="s">
        <v>91</v>
      </c>
      <c r="B30" s="7" t="s">
        <v>75</v>
      </c>
      <c r="C30" s="7" t="s">
        <v>118</v>
      </c>
      <c r="D30" s="7"/>
      <c r="E30" s="3" t="s">
        <v>121</v>
      </c>
      <c r="F30" s="11" t="n">
        <f aca="false">Reference!$E$21</f>
        <v>220.6</v>
      </c>
      <c r="G30" s="11" t="n">
        <f aca="false">Reference!$E$20</f>
        <v>135.93</v>
      </c>
      <c r="H30" s="8" t="n">
        <f aca="false">F30+G30</f>
        <v>356.53</v>
      </c>
      <c r="L30" s="10" t="n">
        <f aca="false">IF(K30&lt;&gt;"",K30,H30)</f>
        <v>356.53</v>
      </c>
      <c r="M30" s="7" t="str">
        <f aca="false">IF(K30&lt;&gt;"","median allowed","APC price")</f>
        <v>APC price</v>
      </c>
      <c r="N30" s="11" t="n">
        <f aca="false">Reference!$C$10</f>
        <v>142.57</v>
      </c>
      <c r="O30" s="10" t="n">
        <f aca="false">L30+N30</f>
        <v>499.1</v>
      </c>
      <c r="P30" s="12" t="s">
        <v>122</v>
      </c>
    </row>
    <row r="31" customFormat="false" ht="15" hidden="false" customHeight="false" outlineLevel="0" collapsed="false">
      <c r="A31" s="7" t="s">
        <v>91</v>
      </c>
      <c r="B31" s="7" t="s">
        <v>43</v>
      </c>
      <c r="C31" s="7" t="s">
        <v>93</v>
      </c>
      <c r="D31" s="7" t="s">
        <v>141</v>
      </c>
      <c r="E31" s="7" t="s">
        <v>124</v>
      </c>
      <c r="F31" s="11" t="n">
        <f aca="false">Rates_data!P73</f>
        <v>325.87</v>
      </c>
      <c r="G31" s="11" t="n">
        <f aca="false">Rates_data!P69</f>
        <v>255.23</v>
      </c>
      <c r="H31" s="8" t="n">
        <f aca="false">F31+G31</f>
        <v>581.1</v>
      </c>
      <c r="I31" s="11" t="str">
        <f aca="false">IF(Rates_data!S73="","",Rates_data!S73)</f>
        <v/>
      </c>
      <c r="J31" s="11" t="str">
        <f aca="false">IF(Rates_data!S69="","",Rates_data!S69)</f>
        <v/>
      </c>
      <c r="K31" s="8" t="str">
        <f aca="false">IF(AND(I31&lt;&gt;"",J31&lt;&gt;""),I31+J31,"")</f>
        <v/>
      </c>
      <c r="L31" s="10" t="n">
        <f aca="false">IF(K31&lt;&gt;"",K31,H31)</f>
        <v>581.1</v>
      </c>
      <c r="M31" s="7" t="str">
        <f aca="false">IF(K31&lt;&gt;"","median allowed","negotiated")</f>
        <v>negotiated</v>
      </c>
      <c r="N31" s="11" t="n">
        <f aca="false">Reference!$C$10</f>
        <v>142.57</v>
      </c>
      <c r="O31" s="10" t="n">
        <f aca="false">L31+N31</f>
        <v>723.67</v>
      </c>
      <c r="P31" s="12"/>
    </row>
    <row r="32" customFormat="false" ht="15" hidden="false" customHeight="false" outlineLevel="0" collapsed="false">
      <c r="A32" s="7" t="s">
        <v>91</v>
      </c>
      <c r="B32" s="7" t="s">
        <v>43</v>
      </c>
      <c r="C32" s="7" t="s">
        <v>93</v>
      </c>
      <c r="D32" s="7" t="s">
        <v>142</v>
      </c>
      <c r="E32" s="7" t="s">
        <v>124</v>
      </c>
      <c r="F32" s="11" t="n">
        <f aca="false">Rates_data!P74</f>
        <v>340.79</v>
      </c>
      <c r="G32" s="11" t="n">
        <f aca="false">Rates_data!P70</f>
        <v>266.92</v>
      </c>
      <c r="H32" s="8" t="n">
        <f aca="false">F32+G32</f>
        <v>607.71</v>
      </c>
      <c r="I32" s="11" t="str">
        <f aca="false">IF(Rates_data!S74="","",Rates_data!S74)</f>
        <v/>
      </c>
      <c r="J32" s="11" t="str">
        <f aca="false">IF(Rates_data!S70="","",Rates_data!S70)</f>
        <v/>
      </c>
      <c r="K32" s="8" t="str">
        <f aca="false">IF(AND(I32&lt;&gt;"",J32&lt;&gt;""),I32+J32,"")</f>
        <v/>
      </c>
      <c r="L32" s="10" t="n">
        <f aca="false">IF(K32&lt;&gt;"",K32,H32)</f>
        <v>607.71</v>
      </c>
      <c r="M32" s="7" t="str">
        <f aca="false">IF(K32&lt;&gt;"","median allowed","negotiated")</f>
        <v>negotiated</v>
      </c>
      <c r="N32" s="11" t="n">
        <f aca="false">Reference!$C$10</f>
        <v>142.57</v>
      </c>
      <c r="O32" s="10" t="n">
        <f aca="false">L32+N32</f>
        <v>750.28</v>
      </c>
      <c r="P32" s="12"/>
    </row>
    <row r="33" customFormat="false" ht="15" hidden="false" customHeight="false" outlineLevel="0" collapsed="false">
      <c r="A33" s="7" t="s">
        <v>91</v>
      </c>
      <c r="B33" s="7" t="s">
        <v>43</v>
      </c>
      <c r="C33" s="7" t="s">
        <v>94</v>
      </c>
      <c r="D33" s="7" t="s">
        <v>143</v>
      </c>
      <c r="E33" s="7" t="s">
        <v>124</v>
      </c>
      <c r="F33" s="11" t="n">
        <f aca="false">Rates_data!P75</f>
        <v>396.97</v>
      </c>
      <c r="G33" s="11" t="n">
        <f aca="false">Rates_data!P71</f>
        <v>310.92</v>
      </c>
      <c r="H33" s="8" t="n">
        <f aca="false">F33+G33</f>
        <v>707.89</v>
      </c>
      <c r="I33" s="11" t="str">
        <f aca="false">IF(Rates_data!S75="","",Rates_data!S75)</f>
        <v/>
      </c>
      <c r="J33" s="11" t="str">
        <f aca="false">IF(Rates_data!S71="","",Rates_data!S71)</f>
        <v/>
      </c>
      <c r="K33" s="8" t="str">
        <f aca="false">IF(AND(I33&lt;&gt;"",J33&lt;&gt;""),I33+J33,"")</f>
        <v/>
      </c>
      <c r="L33" s="10" t="n">
        <f aca="false">IF(K33&lt;&gt;"",K33,H33)</f>
        <v>707.89</v>
      </c>
      <c r="M33" s="7" t="str">
        <f aca="false">IF(K33&lt;&gt;"","median allowed","negotiated")</f>
        <v>negotiated</v>
      </c>
      <c r="N33" s="11" t="n">
        <f aca="false">Reference!$C$10</f>
        <v>142.57</v>
      </c>
      <c r="O33" s="10" t="n">
        <f aca="false">L33+N33</f>
        <v>850.46</v>
      </c>
      <c r="P33" s="12"/>
    </row>
    <row r="36" customFormat="false" ht="15" hidden="false" customHeight="false" outlineLevel="0" collapsed="false">
      <c r="A36" s="2" t="s">
        <v>144</v>
      </c>
    </row>
    <row r="37" customFormat="false" ht="39.75" hidden="false" customHeight="true" outlineLevel="0" collapsed="false">
      <c r="A37" s="6" t="s">
        <v>23</v>
      </c>
      <c r="B37" s="6" t="s">
        <v>145</v>
      </c>
      <c r="C37" s="6" t="s">
        <v>146</v>
      </c>
      <c r="D37" s="6" t="s">
        <v>147</v>
      </c>
      <c r="E37" s="6" t="s">
        <v>148</v>
      </c>
      <c r="F37" s="6" t="s">
        <v>149</v>
      </c>
      <c r="G37" s="6" t="s">
        <v>150</v>
      </c>
    </row>
    <row r="38" customFormat="false" ht="15" hidden="false" customHeight="false" outlineLevel="0" collapsed="false">
      <c r="A38" s="7" t="s">
        <v>39</v>
      </c>
      <c r="B38" s="7" t="n">
        <f aca="false">COUNTIFS($A$5:$A$33,$A38,$B$5:$B$33,"Commercial")</f>
        <v>9</v>
      </c>
      <c r="C38" s="10" t="n">
        <f aca="false" t="array" ref="C38:C38">IF($B38=0,"none listed",MEDIAN(IF(($A$5:$A$33=$A38)*($B$5:$B$33="Commercial"),$L$5:$L$33)))</f>
        <v>1538.14</v>
      </c>
      <c r="D38" s="8" t="n">
        <f aca="false" t="array" ref="D38:D38">IF($B38=0,"none listed",MEDIAN(IF(($A$5:$A$33=$A38)*($B$5:$B$33="Commercial"),$H$5:$H$33)))</f>
        <v>1385.15</v>
      </c>
      <c r="E38" s="8" t="n">
        <f aca="false" t="array" ref="E38:E38">IF($B38=0,"none listed",MEDIAN(IF(($A$5:$A$33=$A38)*($B$5:$B$33="Commercial"),$O$5:$O$33)))</f>
        <v>1680.71</v>
      </c>
      <c r="F38" s="8" t="n">
        <f aca="false">IF($B38=0,"",_xlfn.MINIFS($L$5:$L$33,$A$5:$A$33,$A38,$B$5:$B$33,"Commercial"))</f>
        <v>770.62</v>
      </c>
      <c r="G38" s="8" t="n">
        <f aca="false">IF($B38=0,"",_xlfn.MAXIFS($L$5:$L$33,$A$5:$A$33,$A38,$B$5:$B$33,"Commercial"))</f>
        <v>2657.53</v>
      </c>
    </row>
    <row r="39" customFormat="false" ht="15" hidden="false" customHeight="false" outlineLevel="0" collapsed="false">
      <c r="A39" s="7" t="s">
        <v>151</v>
      </c>
      <c r="B39" s="7" t="n">
        <f aca="false">COUNTIFS($A$5:$A$33,$A39,$B$5:$B$33,"Commercial")</f>
        <v>0</v>
      </c>
      <c r="C39" s="10" t="str">
        <f aca="false" t="array" ref="C39:C39">IF($B39=0,"none listed",MEDIAN(IF(($A$5:$A$33=$A39)*($B$5:$B$33="Commercial"),$L$5:$L$33)))</f>
        <v>none listed</v>
      </c>
      <c r="D39" s="8" t="str">
        <f aca="false" t="array" ref="D39:D39">IF($B39=0,"none listed",MEDIAN(IF(($A$5:$A$33=$A39)*($B$5:$B$33="Commercial"),$H$5:$H$33)))</f>
        <v>none listed</v>
      </c>
      <c r="E39" s="8" t="str">
        <f aca="false" t="array" ref="E39:E39">IF($B39=0,"none listed",MEDIAN(IF(($A$5:$A$33=$A39)*($B$5:$B$33="Commercial"),$O$5:$O$33)))</f>
        <v>none listed</v>
      </c>
      <c r="F39" s="8" t="str">
        <f aca="false">IF($B39=0,"",_xlfn.MINIFS($L$5:$L$33,$A$5:$A$33,$A39,$B$5:$B$33,"Commercial"))</f>
        <v/>
      </c>
      <c r="G39" s="8" t="str">
        <f aca="false">IF($B39=0,"",_xlfn.MAXIFS($L$5:$L$33,$A$5:$A$33,$A39,$B$5:$B$33,"Commercial"))</f>
        <v/>
      </c>
    </row>
    <row r="40" customFormat="false" ht="15" hidden="false" customHeight="false" outlineLevel="0" collapsed="false">
      <c r="A40" s="7" t="s">
        <v>79</v>
      </c>
      <c r="B40" s="7" t="n">
        <f aca="false">COUNTIFS($A$5:$A$33,$A40,$B$5:$B$33,"Commercial")</f>
        <v>5</v>
      </c>
      <c r="C40" s="10" t="n">
        <f aca="false" t="array" ref="C40:C40">IF($B40=0,"none listed",MEDIAN(IF(($A$5:$A$33=$A40)*($B$5:$B$33="Commercial"),$L$5:$L$33)))</f>
        <v>1068.72</v>
      </c>
      <c r="D40" s="8" t="n">
        <f aca="false" t="array" ref="D40:D40">IF($B40=0,"none listed",MEDIAN(IF(($A$5:$A$33=$A40)*($B$5:$B$33="Commercial"),$H$5:$H$33)))</f>
        <v>1098.65</v>
      </c>
      <c r="E40" s="8" t="n">
        <f aca="false" t="array" ref="E40:E40">IF($B40=0,"none listed",MEDIAN(IF(($A$5:$A$33=$A40)*($B$5:$B$33="Commercial"),$O$5:$O$33)))</f>
        <v>1211.29</v>
      </c>
      <c r="F40" s="8" t="n">
        <f aca="false">IF($B40=0,"",_xlfn.MINIFS($L$5:$L$33,$A$5:$A$33,$A40,$B$5:$B$33,"Commercial"))</f>
        <v>667</v>
      </c>
      <c r="G40" s="8" t="n">
        <f aca="false">IF($B40=0,"",_xlfn.MAXIFS($L$5:$L$33,$A$5:$A$33,$A40,$B$5:$B$33,"Commercial"))</f>
        <v>1464</v>
      </c>
    </row>
    <row r="41" customFormat="false" ht="15" hidden="false" customHeight="false" outlineLevel="0" collapsed="false">
      <c r="A41" s="7" t="s">
        <v>152</v>
      </c>
      <c r="B41" s="7" t="n">
        <f aca="false">COUNTIFS($A$5:$A$33,$A41,$B$5:$B$33,"Commercial")</f>
        <v>0</v>
      </c>
      <c r="C41" s="10" t="str">
        <f aca="false" t="array" ref="C41:C41">IF($B41=0,"none listed",MEDIAN(IF(($A$5:$A$33=$A41)*($B$5:$B$33="Commercial"),$L$5:$L$33)))</f>
        <v>none listed</v>
      </c>
      <c r="D41" s="8" t="str">
        <f aca="false" t="array" ref="D41:D41">IF($B41=0,"none listed",MEDIAN(IF(($A$5:$A$33=$A41)*($B$5:$B$33="Commercial"),$H$5:$H$33)))</f>
        <v>none listed</v>
      </c>
      <c r="E41" s="8" t="str">
        <f aca="false" t="array" ref="E41:E41">IF($B41=0,"none listed",MEDIAN(IF(($A$5:$A$33=$A41)*($B$5:$B$33="Commercial"),$O$5:$O$33)))</f>
        <v>none listed</v>
      </c>
      <c r="F41" s="8" t="str">
        <f aca="false">IF($B41=0,"",_xlfn.MINIFS($L$5:$L$33,$A$5:$A$33,$A41,$B$5:$B$33,"Commercial"))</f>
        <v/>
      </c>
      <c r="G41" s="8" t="str">
        <f aca="false">IF($B41=0,"",_xlfn.MAXIFS($L$5:$L$33,$A$5:$A$33,$A41,$B$5:$B$33,"Commercial"))</f>
        <v/>
      </c>
    </row>
    <row r="42" customFormat="false" ht="15" hidden="false" customHeight="false" outlineLevel="0" collapsed="false">
      <c r="A42" s="7" t="s">
        <v>91</v>
      </c>
      <c r="B42" s="7" t="n">
        <f aca="false">COUNTIFS($A$5:$A$33,$A42,$B$5:$B$33,"Commercial")</f>
        <v>3</v>
      </c>
      <c r="C42" s="10" t="n">
        <f aca="false" t="array" ref="C42:C42">IF($B42=0,"none listed",MEDIAN(IF(($A$5:$A$33=$A42)*($B$5:$B$33="Commercial"),$L$5:$L$33)))</f>
        <v>607.71</v>
      </c>
      <c r="D42" s="8" t="n">
        <f aca="false" t="array" ref="D42:D42">IF($B42=0,"none listed",MEDIAN(IF(($A$5:$A$33=$A42)*($B$5:$B$33="Commercial"),$H$5:$H$33)))</f>
        <v>607.71</v>
      </c>
      <c r="E42" s="8" t="n">
        <f aca="false" t="array" ref="E42:E42">IF($B42=0,"none listed",MEDIAN(IF(($A$5:$A$33=$A42)*($B$5:$B$33="Commercial"),$O$5:$O$33)))</f>
        <v>750.28</v>
      </c>
      <c r="F42" s="8" t="n">
        <f aca="false">IF($B42=0,"",_xlfn.MINIFS($L$5:$L$33,$A$5:$A$33,$A42,$B$5:$B$33,"Commercial"))</f>
        <v>581.1</v>
      </c>
      <c r="G42" s="8" t="n">
        <f aca="false">IF($B42=0,"",_xlfn.MAXIFS($L$5:$L$33,$A$5:$A$33,$A42,$B$5:$B$33,"Commercial"))</f>
        <v>707.89</v>
      </c>
    </row>
  </sheetData>
  <autoFilter ref="A4:P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22"/>
    <col collapsed="false" customWidth="true" hidden="false" outlineLevel="0" max="4" min="4" style="0" width="32"/>
    <col collapsed="false" customWidth="true" hidden="false" outlineLevel="0" max="5" min="5" style="0" width="40"/>
    <col collapsed="false" customWidth="true" hidden="false" outlineLevel="0" max="7" min="6" style="0" width="14"/>
    <col collapsed="false" customWidth="true" hidden="false" outlineLevel="0" max="8" min="8" style="0" width="12"/>
    <col collapsed="false" customWidth="true" hidden="false" outlineLevel="0" max="9" min="9" style="0" width="16"/>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6.15" hidden="false" customHeight="false" outlineLevel="0" collapsed="false">
      <c r="A1" s="1" t="s">
        <v>153</v>
      </c>
    </row>
    <row r="2" customFormat="false" ht="15" hidden="false" customHeight="false" outlineLevel="0" collapsed="false">
      <c r="A2" s="5" t="s">
        <v>154</v>
      </c>
    </row>
    <row r="4" customFormat="false" ht="15" hidden="false" customHeight="false" outlineLevel="0" collapsed="false">
      <c r="A4" s="2" t="s">
        <v>155</v>
      </c>
    </row>
    <row r="5" customFormat="false" ht="39.75" hidden="false" customHeight="true" outlineLevel="0" collapsed="false">
      <c r="A5" s="6" t="s">
        <v>23</v>
      </c>
      <c r="B5" s="6" t="s">
        <v>24</v>
      </c>
      <c r="C5" s="6" t="s">
        <v>27</v>
      </c>
      <c r="D5" s="6" t="s">
        <v>101</v>
      </c>
      <c r="E5" s="6" t="s">
        <v>102</v>
      </c>
      <c r="F5" s="6" t="s">
        <v>156</v>
      </c>
      <c r="G5" s="6" t="s">
        <v>157</v>
      </c>
      <c r="H5" s="6" t="s">
        <v>158</v>
      </c>
      <c r="I5" s="6" t="s">
        <v>159</v>
      </c>
      <c r="J5" s="6" t="s">
        <v>160</v>
      </c>
      <c r="K5" s="6" t="s">
        <v>37</v>
      </c>
      <c r="L5" s="6" t="s">
        <v>38</v>
      </c>
    </row>
    <row r="6" customFormat="false" ht="15" hidden="false" customHeight="false" outlineLevel="0" collapsed="false">
      <c r="A6" s="7" t="s">
        <v>39</v>
      </c>
      <c r="B6" s="7" t="s">
        <v>40</v>
      </c>
      <c r="C6" s="7" t="s">
        <v>43</v>
      </c>
      <c r="D6" s="7" t="s">
        <v>41</v>
      </c>
      <c r="E6" s="7" t="s">
        <v>131</v>
      </c>
      <c r="F6" s="11" t="n">
        <f aca="false">Rates_data!P2</f>
        <v>500.13</v>
      </c>
      <c r="G6" s="11" t="n">
        <f aca="false">Rates_data!AE2</f>
        <v>131.46</v>
      </c>
      <c r="H6" s="13" t="n">
        <f aca="false">IF(G6&gt;0,F6/G6,"")</f>
        <v>3.80442720219078</v>
      </c>
      <c r="I6" s="7" t="s">
        <v>161</v>
      </c>
      <c r="J6" s="7"/>
      <c r="K6" s="11" t="n">
        <f aca="false">Rates_data!W2</f>
        <v>474.04</v>
      </c>
      <c r="L6" s="14" t="str">
        <f aca="false">Rates_data!X2</f>
        <v>median allowed</v>
      </c>
    </row>
    <row r="7" customFormat="false" ht="15" hidden="false" customHeight="false" outlineLevel="0" collapsed="false">
      <c r="A7" s="7" t="s">
        <v>39</v>
      </c>
      <c r="B7" s="7" t="s">
        <v>45</v>
      </c>
      <c r="C7" s="7" t="s">
        <v>43</v>
      </c>
      <c r="D7" s="7" t="s">
        <v>46</v>
      </c>
      <c r="E7" s="7" t="s">
        <v>123</v>
      </c>
      <c r="F7" s="11" t="n">
        <f aca="false">Rates_data!P3</f>
        <v>686.13</v>
      </c>
      <c r="G7" s="11" t="n">
        <f aca="false">Rates_data!AE3</f>
        <v>135.93</v>
      </c>
      <c r="H7" s="13" t="n">
        <f aca="false">IF(G7&gt;0,F7/G7,"")</f>
        <v>5.04767159567424</v>
      </c>
      <c r="I7" s="7" t="s">
        <v>161</v>
      </c>
      <c r="J7" s="7"/>
      <c r="K7" s="11" t="n">
        <f aca="false">Rates_data!W3</f>
        <v>1212.81</v>
      </c>
      <c r="L7" s="14" t="str">
        <f aca="false">Rates_data!X3</f>
        <v>median allowed</v>
      </c>
    </row>
    <row r="8" customFormat="false" ht="15" hidden="false" customHeight="false" outlineLevel="0" collapsed="false">
      <c r="A8" s="7" t="s">
        <v>39</v>
      </c>
      <c r="B8" s="7" t="s">
        <v>45</v>
      </c>
      <c r="C8" s="7" t="s">
        <v>43</v>
      </c>
      <c r="D8" s="7" t="s">
        <v>48</v>
      </c>
      <c r="E8" s="7" t="s">
        <v>125</v>
      </c>
      <c r="F8" s="11" t="n">
        <f aca="false">Rates_data!P4</f>
        <v>523.94</v>
      </c>
      <c r="G8" s="11" t="n">
        <f aca="false">Rates_data!AE4</f>
        <v>135.93</v>
      </c>
      <c r="H8" s="13" t="n">
        <f aca="false">IF(G8&gt;0,F8/G8,"")</f>
        <v>3.85448392554992</v>
      </c>
      <c r="I8" s="7" t="s">
        <v>161</v>
      </c>
      <c r="J8" s="7"/>
      <c r="K8" s="11" t="n">
        <f aca="false">Rates_data!W4</f>
        <v>503.18</v>
      </c>
      <c r="L8" s="14" t="str">
        <f aca="false">Rates_data!X4</f>
        <v>median allowed</v>
      </c>
    </row>
    <row r="9" customFormat="false" ht="15" hidden="false" customHeight="false" outlineLevel="0" collapsed="false">
      <c r="A9" s="7" t="s">
        <v>39</v>
      </c>
      <c r="B9" s="7" t="s">
        <v>45</v>
      </c>
      <c r="C9" s="7" t="s">
        <v>43</v>
      </c>
      <c r="D9" s="7" t="s">
        <v>50</v>
      </c>
      <c r="E9" s="7" t="s">
        <v>126</v>
      </c>
      <c r="F9" s="11" t="n">
        <f aca="false">Rates_data!P5</f>
        <v>781.49</v>
      </c>
      <c r="G9" s="11" t="n">
        <f aca="false">Rates_data!AE5</f>
        <v>135.93</v>
      </c>
      <c r="H9" s="13" t="n">
        <f aca="false">IF(G9&gt;0,F9/G9,"")</f>
        <v>5.74920915176929</v>
      </c>
      <c r="I9" s="7" t="s">
        <v>161</v>
      </c>
      <c r="J9" s="7"/>
      <c r="K9" s="11" t="n">
        <f aca="false">Rates_data!W5</f>
        <v>750.01</v>
      </c>
      <c r="L9" s="14" t="str">
        <f aca="false">Rates_data!X5</f>
        <v>median allowed</v>
      </c>
    </row>
    <row r="10" customFormat="false" ht="15" hidden="false" customHeight="false" outlineLevel="0" collapsed="false">
      <c r="A10" s="7" t="s">
        <v>39</v>
      </c>
      <c r="B10" s="7" t="s">
        <v>45</v>
      </c>
      <c r="C10" s="7" t="s">
        <v>43</v>
      </c>
      <c r="D10" s="7" t="s">
        <v>52</v>
      </c>
      <c r="E10" s="7" t="s">
        <v>127</v>
      </c>
      <c r="F10" s="11" t="n">
        <f aca="false">Rates_data!P6</f>
        <v>638.95</v>
      </c>
      <c r="G10" s="11" t="n">
        <f aca="false">Rates_data!AE6</f>
        <v>135.93</v>
      </c>
      <c r="H10" s="13" t="n">
        <f aca="false">IF(G10&gt;0,F10/G10,"")</f>
        <v>4.70058118149047</v>
      </c>
      <c r="I10" s="7" t="s">
        <v>161</v>
      </c>
      <c r="J10" s="7"/>
      <c r="K10" s="11" t="n">
        <f aca="false">Rates_data!W6</f>
        <v>619.45</v>
      </c>
      <c r="L10" s="14" t="str">
        <f aca="false">Rates_data!X6</f>
        <v>median allowed</v>
      </c>
    </row>
    <row r="11" customFormat="false" ht="15" hidden="false" customHeight="false" outlineLevel="0" collapsed="false">
      <c r="A11" s="7" t="s">
        <v>39</v>
      </c>
      <c r="B11" s="7" t="s">
        <v>45</v>
      </c>
      <c r="C11" s="7" t="s">
        <v>43</v>
      </c>
      <c r="D11" s="7" t="s">
        <v>54</v>
      </c>
      <c r="E11" s="7" t="s">
        <v>128</v>
      </c>
      <c r="F11" s="11" t="n">
        <f aca="false">Rates_data!P7</f>
        <v>358.8</v>
      </c>
      <c r="G11" s="11" t="n">
        <f aca="false">Rates_data!AE7</f>
        <v>135.93</v>
      </c>
      <c r="H11" s="13" t="n">
        <f aca="false">IF(G11&gt;0,F11/G11,"")</f>
        <v>2.63959390862944</v>
      </c>
      <c r="I11" s="7" t="s">
        <v>161</v>
      </c>
      <c r="J11" s="7"/>
      <c r="K11" s="11" t="n">
        <f aca="false">Rates_data!W7</f>
        <v>355.47</v>
      </c>
      <c r="L11" s="14" t="str">
        <f aca="false">Rates_data!X7</f>
        <v>median allowed</v>
      </c>
    </row>
    <row r="12" customFormat="false" ht="15" hidden="false" customHeight="false" outlineLevel="0" collapsed="false">
      <c r="A12" s="7" t="s">
        <v>39</v>
      </c>
      <c r="B12" s="7" t="s">
        <v>45</v>
      </c>
      <c r="C12" s="7" t="s">
        <v>43</v>
      </c>
      <c r="D12" s="7" t="s">
        <v>54</v>
      </c>
      <c r="E12" s="7" t="s">
        <v>129</v>
      </c>
      <c r="F12" s="11" t="n">
        <f aca="false">Rates_data!P8</f>
        <v>376.49</v>
      </c>
      <c r="G12" s="11" t="n">
        <f aca="false">Rates_data!AE8</f>
        <v>135.93</v>
      </c>
      <c r="H12" s="13" t="n">
        <f aca="false">IF(G12&gt;0,F12/G12,"")</f>
        <v>2.76973442212904</v>
      </c>
      <c r="I12" s="7" t="s">
        <v>161</v>
      </c>
      <c r="J12" s="7"/>
      <c r="K12" s="11" t="n">
        <f aca="false">Rates_data!W8</f>
        <v>372.62</v>
      </c>
      <c r="L12" s="14" t="str">
        <f aca="false">Rates_data!X8</f>
        <v>median allowed</v>
      </c>
    </row>
    <row r="13" customFormat="false" ht="15" hidden="false" customHeight="false" outlineLevel="0" collapsed="false">
      <c r="A13" s="7" t="s">
        <v>39</v>
      </c>
      <c r="B13" s="7" t="s">
        <v>45</v>
      </c>
      <c r="C13" s="7" t="s">
        <v>43</v>
      </c>
      <c r="D13" s="7" t="s">
        <v>41</v>
      </c>
      <c r="E13" s="7" t="s">
        <v>130</v>
      </c>
      <c r="F13" s="11" t="n">
        <f aca="false">Rates_data!P9</f>
        <v>421.71</v>
      </c>
      <c r="G13" s="11" t="n">
        <f aca="false">Rates_data!AE9</f>
        <v>135.93</v>
      </c>
      <c r="H13" s="13" t="n">
        <f aca="false">IF(G13&gt;0,F13/G13,"")</f>
        <v>3.10240564996689</v>
      </c>
      <c r="I13" s="7" t="s">
        <v>161</v>
      </c>
      <c r="J13" s="7"/>
      <c r="K13" s="11" t="n">
        <f aca="false">Rates_data!W9</f>
        <v>761.83</v>
      </c>
      <c r="L13" s="14" t="str">
        <f aca="false">Rates_data!X9</f>
        <v>median allowed</v>
      </c>
    </row>
    <row r="14" customFormat="false" ht="15" hidden="false" customHeight="false" outlineLevel="0" collapsed="false">
      <c r="A14" s="7" t="s">
        <v>39</v>
      </c>
      <c r="B14" s="7" t="s">
        <v>45</v>
      </c>
      <c r="C14" s="7" t="s">
        <v>43</v>
      </c>
      <c r="D14" s="7" t="s">
        <v>41</v>
      </c>
      <c r="E14" s="7" t="s">
        <v>131</v>
      </c>
      <c r="F14" s="11" t="n">
        <f aca="false">Rates_data!P10</f>
        <v>803.31</v>
      </c>
      <c r="G14" s="11" t="n">
        <f aca="false">Rates_data!AE10</f>
        <v>135.93</v>
      </c>
      <c r="H14" s="13" t="n">
        <f aca="false">IF(G14&gt;0,F14/G14,"")</f>
        <v>5.90973295078349</v>
      </c>
      <c r="I14" s="7" t="s">
        <v>161</v>
      </c>
      <c r="J14" s="7"/>
      <c r="K14" s="11" t="n">
        <f aca="false">Rates_data!W10</f>
        <v>761.83</v>
      </c>
      <c r="L14" s="14" t="str">
        <f aca="false">Rates_data!X10</f>
        <v>median allowed</v>
      </c>
    </row>
    <row r="15" customFormat="false" ht="15" hidden="false" customHeight="false" outlineLevel="0" collapsed="false">
      <c r="A15" s="7" t="s">
        <v>39</v>
      </c>
      <c r="B15" s="7" t="s">
        <v>45</v>
      </c>
      <c r="C15" s="7" t="s">
        <v>43</v>
      </c>
      <c r="D15" s="7" t="s">
        <v>58</v>
      </c>
      <c r="E15" s="7" t="s">
        <v>132</v>
      </c>
      <c r="F15" s="11" t="n">
        <f aca="false">Rates_data!P11</f>
        <v>725.26</v>
      </c>
      <c r="G15" s="11" t="n">
        <f aca="false">Rates_data!AE11</f>
        <v>135.93</v>
      </c>
      <c r="H15" s="13" t="n">
        <f aca="false">IF(G15&gt;0,F15/G15,"")</f>
        <v>5.33554035165159</v>
      </c>
      <c r="I15" s="7" t="s">
        <v>161</v>
      </c>
      <c r="J15" s="7"/>
      <c r="K15" s="11" t="n">
        <f aca="false">Rates_data!W11</f>
        <v>709.51</v>
      </c>
      <c r="L15" s="14" t="str">
        <f aca="false">Rates_data!X11</f>
        <v>median allowed</v>
      </c>
    </row>
    <row r="16" customFormat="false" ht="15" hidden="false" customHeight="false" outlineLevel="0" collapsed="false">
      <c r="A16" s="7" t="s">
        <v>39</v>
      </c>
      <c r="B16" s="7" t="s">
        <v>60</v>
      </c>
      <c r="C16" s="7" t="s">
        <v>43</v>
      </c>
      <c r="D16" s="7" t="s">
        <v>46</v>
      </c>
      <c r="E16" s="7" t="s">
        <v>123</v>
      </c>
      <c r="F16" s="11" t="n">
        <f aca="false">Rates_data!P12</f>
        <v>801.3</v>
      </c>
      <c r="G16" s="11" t="n">
        <f aca="false">Rates_data!AE12</f>
        <v>220.6</v>
      </c>
      <c r="H16" s="13" t="n">
        <f aca="false">IF(G16&gt;0,F16/G16,"")</f>
        <v>3.63236627379873</v>
      </c>
      <c r="I16" s="11" t="n">
        <f aca="false">Rates_data!P27</f>
        <v>369.77</v>
      </c>
      <c r="J16" s="13" t="n">
        <f aca="false">IF(I16&gt;0,F16/I16,"")</f>
        <v>2.16702274386781</v>
      </c>
      <c r="K16" s="11" t="n">
        <f aca="false">Rates_data!W12</f>
        <v>1444.72</v>
      </c>
      <c r="L16" s="14" t="str">
        <f aca="false">Rates_data!X12</f>
        <v>median allowed</v>
      </c>
    </row>
    <row r="17" customFormat="false" ht="15" hidden="false" customHeight="false" outlineLevel="0" collapsed="false">
      <c r="A17" s="7" t="s">
        <v>39</v>
      </c>
      <c r="B17" s="7" t="s">
        <v>60</v>
      </c>
      <c r="C17" s="7" t="s">
        <v>43</v>
      </c>
      <c r="D17" s="7" t="s">
        <v>48</v>
      </c>
      <c r="E17" s="7" t="s">
        <v>125</v>
      </c>
      <c r="F17" s="11" t="n">
        <f aca="false">Rates_data!P13</f>
        <v>611.88</v>
      </c>
      <c r="G17" s="11" t="n">
        <f aca="false">Rates_data!AE13</f>
        <v>220.6</v>
      </c>
      <c r="H17" s="13" t="n">
        <f aca="false">IF(G17&gt;0,F17/G17,"")</f>
        <v>2.77370806890299</v>
      </c>
      <c r="I17" s="11" t="n">
        <f aca="false">Rates_data!P27</f>
        <v>369.77</v>
      </c>
      <c r="J17" s="13" t="n">
        <f aca="false">IF(I17&gt;0,F17/I17,"")</f>
        <v>1.65475836330692</v>
      </c>
      <c r="K17" s="11" t="n">
        <f aca="false">Rates_data!W13</f>
        <v>587.66</v>
      </c>
      <c r="L17" s="14" t="str">
        <f aca="false">Rates_data!X13</f>
        <v>median allowed</v>
      </c>
    </row>
    <row r="18" customFormat="false" ht="15" hidden="false" customHeight="false" outlineLevel="0" collapsed="false">
      <c r="A18" s="7" t="s">
        <v>39</v>
      </c>
      <c r="B18" s="7" t="s">
        <v>60</v>
      </c>
      <c r="C18" s="7" t="s">
        <v>43</v>
      </c>
      <c r="D18" s="7" t="s">
        <v>50</v>
      </c>
      <c r="E18" s="7" t="s">
        <v>126</v>
      </c>
      <c r="F18" s="11" t="n">
        <f aca="false">Rates_data!P14</f>
        <v>912.66</v>
      </c>
      <c r="G18" s="11" t="n">
        <f aca="false">Rates_data!AE14</f>
        <v>220.6</v>
      </c>
      <c r="H18" s="13" t="n">
        <f aca="false">IF(G18&gt;0,F18/G18,"")</f>
        <v>4.13717135086129</v>
      </c>
      <c r="I18" s="11" t="n">
        <f aca="false">Rates_data!P27</f>
        <v>369.77</v>
      </c>
      <c r="J18" s="13" t="n">
        <f aca="false">IF(I18&gt;0,F18/I18,"")</f>
        <v>2.46818292452065</v>
      </c>
      <c r="K18" s="11" t="n">
        <f aca="false">Rates_data!W14</f>
        <v>875.93</v>
      </c>
      <c r="L18" s="14" t="str">
        <f aca="false">Rates_data!X14</f>
        <v>median allowed</v>
      </c>
    </row>
    <row r="19" customFormat="false" ht="15" hidden="false" customHeight="false" outlineLevel="0" collapsed="false">
      <c r="A19" s="7" t="s">
        <v>39</v>
      </c>
      <c r="B19" s="7" t="s">
        <v>60</v>
      </c>
      <c r="C19" s="7" t="s">
        <v>43</v>
      </c>
      <c r="D19" s="7" t="s">
        <v>52</v>
      </c>
      <c r="E19" s="7" t="s">
        <v>127</v>
      </c>
      <c r="F19" s="11" t="n">
        <f aca="false">Rates_data!P15</f>
        <v>746.2</v>
      </c>
      <c r="G19" s="11" t="n">
        <f aca="false">Rates_data!AE15</f>
        <v>220.6</v>
      </c>
      <c r="H19" s="13" t="n">
        <f aca="false">IF(G19&gt;0,F19/G19,"")</f>
        <v>3.38259292837715</v>
      </c>
      <c r="I19" s="11" t="n">
        <f aca="false">Rates_data!P27</f>
        <v>369.77</v>
      </c>
      <c r="J19" s="13" t="n">
        <f aca="false">IF(I19&gt;0,F19/I19,"")</f>
        <v>2.01801119614896</v>
      </c>
      <c r="K19" s="11" t="n">
        <f aca="false">Rates_data!W15</f>
        <v>723.45</v>
      </c>
      <c r="L19" s="14" t="str">
        <f aca="false">Rates_data!X15</f>
        <v>median allowed</v>
      </c>
    </row>
    <row r="20" customFormat="false" ht="15" hidden="false" customHeight="false" outlineLevel="0" collapsed="false">
      <c r="A20" s="7" t="s">
        <v>39</v>
      </c>
      <c r="B20" s="7" t="s">
        <v>60</v>
      </c>
      <c r="C20" s="7" t="s">
        <v>43</v>
      </c>
      <c r="D20" s="7" t="s">
        <v>54</v>
      </c>
      <c r="E20" s="7" t="s">
        <v>128</v>
      </c>
      <c r="F20" s="11" t="n">
        <f aca="false">Rates_data!P16</f>
        <v>419.02</v>
      </c>
      <c r="G20" s="11" t="n">
        <f aca="false">Rates_data!AE16</f>
        <v>220.6</v>
      </c>
      <c r="H20" s="13" t="n">
        <f aca="false">IF(G20&gt;0,F20/G20,"")</f>
        <v>1.89945602901179</v>
      </c>
      <c r="I20" s="11" t="n">
        <f aca="false">Rates_data!P27</f>
        <v>369.77</v>
      </c>
      <c r="J20" s="13" t="n">
        <f aca="false">IF(I20&gt;0,F20/I20,"")</f>
        <v>1.13319090245288</v>
      </c>
      <c r="K20" s="11" t="n">
        <f aca="false">Rates_data!W16</f>
        <v>415.15</v>
      </c>
      <c r="L20" s="14" t="str">
        <f aca="false">Rates_data!X16</f>
        <v>median allowed</v>
      </c>
    </row>
    <row r="21" customFormat="false" ht="15" hidden="false" customHeight="false" outlineLevel="0" collapsed="false">
      <c r="A21" s="7" t="s">
        <v>39</v>
      </c>
      <c r="B21" s="7" t="s">
        <v>60</v>
      </c>
      <c r="C21" s="7" t="s">
        <v>43</v>
      </c>
      <c r="D21" s="7" t="s">
        <v>54</v>
      </c>
      <c r="E21" s="7" t="s">
        <v>129</v>
      </c>
      <c r="F21" s="11" t="n">
        <f aca="false">Rates_data!P17</f>
        <v>439.68</v>
      </c>
      <c r="G21" s="11" t="n">
        <f aca="false">Rates_data!AE17</f>
        <v>220.6</v>
      </c>
      <c r="H21" s="13" t="n">
        <f aca="false">IF(G21&gt;0,F21/G21,"")</f>
        <v>1.99310970081596</v>
      </c>
      <c r="I21" s="11" t="n">
        <f aca="false">Rates_data!P27</f>
        <v>369.77</v>
      </c>
      <c r="J21" s="13" t="n">
        <f aca="false">IF(I21&gt;0,F21/I21,"")</f>
        <v>1.18906347188793</v>
      </c>
      <c r="K21" s="11" t="n">
        <f aca="false">Rates_data!W17</f>
        <v>435.18</v>
      </c>
      <c r="L21" s="14" t="str">
        <f aca="false">Rates_data!X17</f>
        <v>median allowed</v>
      </c>
    </row>
    <row r="22" customFormat="false" ht="15" hidden="false" customHeight="false" outlineLevel="0" collapsed="false">
      <c r="A22" s="7" t="s">
        <v>39</v>
      </c>
      <c r="B22" s="7" t="s">
        <v>60</v>
      </c>
      <c r="C22" s="7" t="s">
        <v>43</v>
      </c>
      <c r="D22" s="7" t="s">
        <v>41</v>
      </c>
      <c r="E22" s="7" t="s">
        <v>130</v>
      </c>
      <c r="F22" s="11" t="n">
        <f aca="false">Rates_data!P18</f>
        <v>492.49</v>
      </c>
      <c r="G22" s="11" t="n">
        <f aca="false">Rates_data!AE18</f>
        <v>220.6</v>
      </c>
      <c r="H22" s="13" t="n">
        <f aca="false">IF(G22&gt;0,F22/G22,"")</f>
        <v>2.23250226654578</v>
      </c>
      <c r="I22" s="11" t="n">
        <f aca="false">Rates_data!P27</f>
        <v>369.77</v>
      </c>
      <c r="J22" s="13" t="n">
        <f aca="false">IF(I22&gt;0,F22/I22,"")</f>
        <v>1.3318819806907</v>
      </c>
      <c r="K22" s="11" t="n">
        <f aca="false">Rates_data!W18</f>
        <v>889.73</v>
      </c>
      <c r="L22" s="14" t="str">
        <f aca="false">Rates_data!X18</f>
        <v>median allowed</v>
      </c>
    </row>
    <row r="23" customFormat="false" ht="15" hidden="false" customHeight="false" outlineLevel="0" collapsed="false">
      <c r="A23" s="7" t="s">
        <v>39</v>
      </c>
      <c r="B23" s="7" t="s">
        <v>60</v>
      </c>
      <c r="C23" s="7" t="s">
        <v>43</v>
      </c>
      <c r="D23" s="7" t="s">
        <v>41</v>
      </c>
      <c r="E23" s="7" t="s">
        <v>131</v>
      </c>
      <c r="F23" s="11" t="n">
        <f aca="false">Rates_data!P19</f>
        <v>938.15</v>
      </c>
      <c r="G23" s="11" t="n">
        <f aca="false">Rates_data!AE19</f>
        <v>220.6</v>
      </c>
      <c r="H23" s="13" t="n">
        <f aca="false">IF(G23&gt;0,F23/G23,"")</f>
        <v>4.25271985494107</v>
      </c>
      <c r="I23" s="11" t="n">
        <f aca="false">Rates_data!P27</f>
        <v>369.77</v>
      </c>
      <c r="J23" s="13" t="n">
        <f aca="false">IF(I23&gt;0,F23/I23,"")</f>
        <v>2.53711766773941</v>
      </c>
      <c r="K23" s="11" t="n">
        <f aca="false">Rates_data!W19</f>
        <v>889.73</v>
      </c>
      <c r="L23" s="14" t="str">
        <f aca="false">Rates_data!X19</f>
        <v>median allowed</v>
      </c>
    </row>
    <row r="24" customFormat="false" ht="15" hidden="false" customHeight="false" outlineLevel="0" collapsed="false">
      <c r="A24" s="7" t="s">
        <v>39</v>
      </c>
      <c r="B24" s="7" t="s">
        <v>60</v>
      </c>
      <c r="C24" s="7" t="s">
        <v>43</v>
      </c>
      <c r="D24" s="7" t="s">
        <v>58</v>
      </c>
      <c r="E24" s="7" t="s">
        <v>132</v>
      </c>
      <c r="F24" s="11" t="n">
        <f aca="false">Rates_data!P20</f>
        <v>846.99</v>
      </c>
      <c r="G24" s="11" t="n">
        <f aca="false">Rates_data!AE20</f>
        <v>220.6</v>
      </c>
      <c r="H24" s="13" t="n">
        <f aca="false">IF(G24&gt;0,F24/G24,"")</f>
        <v>3.8394832275612</v>
      </c>
      <c r="I24" s="11" t="n">
        <f aca="false">Rates_data!P27</f>
        <v>369.77</v>
      </c>
      <c r="J24" s="13" t="n">
        <f aca="false">IF(I24&gt;0,F24/I24,"")</f>
        <v>2.29058603997079</v>
      </c>
      <c r="K24" s="11" t="n">
        <f aca="false">Rates_data!W20</f>
        <v>828.63</v>
      </c>
      <c r="L24" s="14" t="str">
        <f aca="false">Rates_data!X20</f>
        <v>median allowed</v>
      </c>
    </row>
    <row r="25" customFormat="false" ht="15" hidden="false" customHeight="false" outlineLevel="0" collapsed="false">
      <c r="A25" s="7" t="s">
        <v>39</v>
      </c>
      <c r="B25" s="7" t="s">
        <v>60</v>
      </c>
      <c r="C25" s="7" t="s">
        <v>65</v>
      </c>
      <c r="D25" s="7" t="s">
        <v>63</v>
      </c>
      <c r="E25" s="7" t="s">
        <v>162</v>
      </c>
      <c r="F25" s="11" t="n">
        <f aca="false">Rates_data!P21</f>
        <v>369.77</v>
      </c>
      <c r="G25" s="11" t="n">
        <f aca="false">Rates_data!AE21</f>
        <v>220.6</v>
      </c>
      <c r="H25" s="13" t="n">
        <f aca="false">IF(G25&gt;0,F25/G25,"")</f>
        <v>1.67620126926564</v>
      </c>
      <c r="I25" s="11" t="n">
        <f aca="false">Rates_data!P27</f>
        <v>369.77</v>
      </c>
      <c r="J25" s="13" t="n">
        <f aca="false">IF(I25&gt;0,F25/I25,"")</f>
        <v>1</v>
      </c>
      <c r="K25" s="11" t="n">
        <f aca="false">Rates_data!W21</f>
        <v>365.12</v>
      </c>
      <c r="L25" s="14" t="str">
        <f aca="false">Rates_data!X21</f>
        <v>median allowed</v>
      </c>
    </row>
    <row r="26" customFormat="false" ht="15" hidden="false" customHeight="false" outlineLevel="0" collapsed="false">
      <c r="A26" s="7" t="s">
        <v>39</v>
      </c>
      <c r="B26" s="7" t="s">
        <v>60</v>
      </c>
      <c r="C26" s="7" t="s">
        <v>68</v>
      </c>
      <c r="D26" s="7" t="s">
        <v>66</v>
      </c>
      <c r="E26" s="7" t="s">
        <v>163</v>
      </c>
      <c r="F26" s="11" t="n">
        <f aca="false">Rates_data!P22</f>
        <v>369.77</v>
      </c>
      <c r="G26" s="11" t="n">
        <f aca="false">Rates_data!AE22</f>
        <v>220.6</v>
      </c>
      <c r="H26" s="13" t="n">
        <f aca="false">IF(G26&gt;0,F26/G26,"")</f>
        <v>1.67620126926564</v>
      </c>
      <c r="I26" s="11" t="n">
        <f aca="false">Rates_data!P27</f>
        <v>369.77</v>
      </c>
      <c r="J26" s="13" t="n">
        <f aca="false">IF(I26&gt;0,F26/I26,"")</f>
        <v>1</v>
      </c>
      <c r="K26" s="11" t="n">
        <f aca="false">Rates_data!W22</f>
        <v>363.89</v>
      </c>
      <c r="L26" s="14" t="str">
        <f aca="false">Rates_data!X22</f>
        <v>median allowed</v>
      </c>
    </row>
    <row r="27" customFormat="false" ht="15" hidden="false" customHeight="false" outlineLevel="0" collapsed="false">
      <c r="A27" s="7" t="s">
        <v>39</v>
      </c>
      <c r="B27" s="7" t="s">
        <v>60</v>
      </c>
      <c r="C27" s="7" t="s">
        <v>68</v>
      </c>
      <c r="D27" s="7" t="s">
        <v>69</v>
      </c>
      <c r="E27" s="7" t="s">
        <v>163</v>
      </c>
      <c r="F27" s="11" t="n">
        <f aca="false">Rates_data!P23</f>
        <v>369.77</v>
      </c>
      <c r="G27" s="11" t="n">
        <f aca="false">Rates_data!AE23</f>
        <v>220.6</v>
      </c>
      <c r="H27" s="13" t="n">
        <f aca="false">IF(G27&gt;0,F27/G27,"")</f>
        <v>1.67620126926564</v>
      </c>
      <c r="I27" s="11" t="n">
        <f aca="false">Rates_data!P27</f>
        <v>369.77</v>
      </c>
      <c r="J27" s="13" t="n">
        <f aca="false">IF(I27&gt;0,F27/I27,"")</f>
        <v>1</v>
      </c>
      <c r="K27" s="11" t="n">
        <f aca="false">Rates_data!W23</f>
        <v>365.37</v>
      </c>
      <c r="L27" s="14" t="str">
        <f aca="false">Rates_data!X23</f>
        <v>median allowed</v>
      </c>
    </row>
    <row r="28" customFormat="false" ht="15" hidden="false" customHeight="false" outlineLevel="0" collapsed="false">
      <c r="A28" s="7" t="s">
        <v>39</v>
      </c>
      <c r="B28" s="7" t="s">
        <v>60</v>
      </c>
      <c r="C28" s="7" t="s">
        <v>68</v>
      </c>
      <c r="D28" s="7" t="s">
        <v>54</v>
      </c>
      <c r="E28" s="7" t="s">
        <v>163</v>
      </c>
      <c r="F28" s="11" t="n">
        <f aca="false">Rates_data!P24</f>
        <v>369.77</v>
      </c>
      <c r="G28" s="11" t="n">
        <f aca="false">Rates_data!AE24</f>
        <v>220.6</v>
      </c>
      <c r="H28" s="13" t="n">
        <f aca="false">IF(G28&gt;0,F28/G28,"")</f>
        <v>1.67620126926564</v>
      </c>
      <c r="I28" s="11" t="n">
        <f aca="false">Rates_data!P27</f>
        <v>369.77</v>
      </c>
      <c r="J28" s="13" t="n">
        <f aca="false">IF(I28&gt;0,F28/I28,"")</f>
        <v>1</v>
      </c>
      <c r="K28" s="11" t="n">
        <f aca="false">Rates_data!W24</f>
        <v>336.12</v>
      </c>
      <c r="L28" s="14" t="str">
        <f aca="false">Rates_data!X24</f>
        <v>median allowed</v>
      </c>
    </row>
    <row r="29" customFormat="false" ht="15" hidden="false" customHeight="false" outlineLevel="0" collapsed="false">
      <c r="A29" s="7" t="s">
        <v>39</v>
      </c>
      <c r="B29" s="7" t="s">
        <v>60</v>
      </c>
      <c r="C29" s="7" t="s">
        <v>68</v>
      </c>
      <c r="D29" s="7" t="s">
        <v>71</v>
      </c>
      <c r="E29" s="7" t="s">
        <v>164</v>
      </c>
      <c r="F29" s="11" t="n">
        <f aca="false">Rates_data!P25</f>
        <v>362.37</v>
      </c>
      <c r="G29" s="11" t="n">
        <f aca="false">Rates_data!AE25</f>
        <v>220.6</v>
      </c>
      <c r="H29" s="13" t="n">
        <f aca="false">IF(G29&gt;0,F29/G29,"")</f>
        <v>1.64265639165911</v>
      </c>
      <c r="I29" s="11" t="n">
        <f aca="false">Rates_data!P27</f>
        <v>369.77</v>
      </c>
      <c r="J29" s="13" t="n">
        <f aca="false">IF(I29&gt;0,F29/I29,"")</f>
        <v>0.979987559834492</v>
      </c>
      <c r="K29" s="11" t="n">
        <f aca="false">Rates_data!W25</f>
        <v>362.81</v>
      </c>
      <c r="L29" s="14" t="str">
        <f aca="false">Rates_data!X25</f>
        <v>median allowed</v>
      </c>
    </row>
    <row r="30" customFormat="false" ht="15" hidden="false" customHeight="false" outlineLevel="0" collapsed="false">
      <c r="A30" s="7" t="s">
        <v>39</v>
      </c>
      <c r="B30" s="7" t="s">
        <v>60</v>
      </c>
      <c r="C30" s="7" t="s">
        <v>68</v>
      </c>
      <c r="D30" s="7" t="s">
        <v>41</v>
      </c>
      <c r="E30" s="7" t="s">
        <v>165</v>
      </c>
      <c r="F30" s="11" t="n">
        <f aca="false">Rates_data!P26</f>
        <v>362.37</v>
      </c>
      <c r="G30" s="11" t="n">
        <f aca="false">Rates_data!AE26</f>
        <v>220.6</v>
      </c>
      <c r="H30" s="13" t="n">
        <f aca="false">IF(G30&gt;0,F30/G30,"")</f>
        <v>1.64265639165911</v>
      </c>
      <c r="I30" s="11" t="n">
        <f aca="false">Rates_data!P27</f>
        <v>369.77</v>
      </c>
      <c r="J30" s="13" t="n">
        <f aca="false">IF(I30&gt;0,F30/I30,"")</f>
        <v>0.979987559834492</v>
      </c>
      <c r="K30" s="11" t="n">
        <f aca="false">Rates_data!W26</f>
        <v>362.92</v>
      </c>
      <c r="L30" s="14" t="str">
        <f aca="false">Rates_data!X26</f>
        <v>median allowed</v>
      </c>
    </row>
    <row r="31" customFormat="false" ht="15" hidden="false" customHeight="false" outlineLevel="0" collapsed="false">
      <c r="A31" s="7" t="s">
        <v>39</v>
      </c>
      <c r="B31" s="7" t="s">
        <v>60</v>
      </c>
      <c r="C31" s="7" t="s">
        <v>75</v>
      </c>
      <c r="D31" s="7" t="s">
        <v>73</v>
      </c>
      <c r="E31" s="7" t="s">
        <v>163</v>
      </c>
      <c r="F31" s="11" t="n">
        <f aca="false">Rates_data!P27</f>
        <v>369.77</v>
      </c>
      <c r="G31" s="11" t="n">
        <f aca="false">Rates_data!AE27</f>
        <v>220.6</v>
      </c>
      <c r="H31" s="13" t="n">
        <f aca="false">IF(G31&gt;0,F31/G31,"")</f>
        <v>1.67620126926564</v>
      </c>
      <c r="I31" s="11" t="n">
        <f aca="false">Rates_data!P27</f>
        <v>369.77</v>
      </c>
      <c r="J31" s="13" t="n">
        <f aca="false">IF(I31&gt;0,F31/I31,"")</f>
        <v>1</v>
      </c>
      <c r="K31" s="11" t="n">
        <f aca="false">Rates_data!W27</f>
        <v>369.81</v>
      </c>
      <c r="L31" s="14" t="str">
        <f aca="false">Rates_data!X27</f>
        <v>median allowed</v>
      </c>
    </row>
    <row r="32" customFormat="false" ht="15" hidden="false" customHeight="false" outlineLevel="0" collapsed="false">
      <c r="A32" s="7" t="s">
        <v>39</v>
      </c>
      <c r="B32" s="7" t="s">
        <v>60</v>
      </c>
      <c r="C32" s="7" t="s">
        <v>78</v>
      </c>
      <c r="D32" s="7" t="s">
        <v>77</v>
      </c>
      <c r="E32" s="7" t="s">
        <v>166</v>
      </c>
      <c r="F32" s="11" t="n">
        <f aca="false">Rates_data!P28</f>
        <v>351.32</v>
      </c>
      <c r="G32" s="11" t="n">
        <f aca="false">Rates_data!AE28</f>
        <v>220.6</v>
      </c>
      <c r="H32" s="13" t="n">
        <f aca="false">IF(G32&gt;0,F32/G32,"")</f>
        <v>1.59256572982774</v>
      </c>
      <c r="I32" s="11" t="n">
        <f aca="false">Rates_data!P27</f>
        <v>369.77</v>
      </c>
      <c r="J32" s="13" t="n">
        <f aca="false">IF(I32&gt;0,F32/I32,"")</f>
        <v>0.950104118776537</v>
      </c>
      <c r="K32" s="11" t="n">
        <f aca="false">Rates_data!W28</f>
        <v>351.32</v>
      </c>
      <c r="L32" s="14" t="str">
        <f aca="false">Rates_data!X28</f>
        <v>median allowed</v>
      </c>
    </row>
    <row r="33" customFormat="false" ht="15" hidden="false" customHeight="false" outlineLevel="0" collapsed="false">
      <c r="A33" s="7" t="s">
        <v>79</v>
      </c>
      <c r="B33" s="7" t="s">
        <v>40</v>
      </c>
      <c r="C33" s="7" t="s">
        <v>43</v>
      </c>
      <c r="D33" s="7" t="s">
        <v>50</v>
      </c>
      <c r="E33" s="7" t="s">
        <v>135</v>
      </c>
      <c r="F33" s="11" t="n">
        <f aca="false">Rates_data!P29</f>
        <v>255.58</v>
      </c>
      <c r="G33" s="11" t="n">
        <f aca="false">Rates_data!AE29</f>
        <v>131.46</v>
      </c>
      <c r="H33" s="13" t="n">
        <f aca="false">IF(G33&gt;0,F33/G33,"")</f>
        <v>1.94416552563517</v>
      </c>
      <c r="I33" s="11" t="n">
        <f aca="false">Rates_data!P32</f>
        <v>185.81</v>
      </c>
      <c r="J33" s="13" t="n">
        <f aca="false">IF(I33&gt;0,F33/I33,"")</f>
        <v>1.37549109305204</v>
      </c>
      <c r="K33" s="11" t="n">
        <f aca="false">Rates_data!W29</f>
        <v>245.53</v>
      </c>
      <c r="L33" s="14" t="str">
        <f aca="false">Rates_data!X29</f>
        <v>median allowed</v>
      </c>
    </row>
    <row r="34" customFormat="false" ht="15" hidden="false" customHeight="false" outlineLevel="0" collapsed="false">
      <c r="A34" s="7" t="s">
        <v>79</v>
      </c>
      <c r="B34" s="7" t="s">
        <v>40</v>
      </c>
      <c r="C34" s="7" t="s">
        <v>43</v>
      </c>
      <c r="D34" s="7" t="s">
        <v>41</v>
      </c>
      <c r="E34" s="7" t="s">
        <v>137</v>
      </c>
      <c r="F34" s="11" t="n">
        <f aca="false">Rates_data!P30</f>
        <v>338.12</v>
      </c>
      <c r="G34" s="11" t="n">
        <f aca="false">Rates_data!AE30</f>
        <v>131.46</v>
      </c>
      <c r="H34" s="13" t="n">
        <f aca="false">IF(G34&gt;0,F34/G34,"")</f>
        <v>2.57203712155789</v>
      </c>
      <c r="I34" s="11" t="n">
        <f aca="false">Rates_data!P32</f>
        <v>185.81</v>
      </c>
      <c r="J34" s="13" t="n">
        <f aca="false">IF(I34&gt;0,F34/I34,"")</f>
        <v>1.81970830418169</v>
      </c>
      <c r="K34" s="11" t="n">
        <f aca="false">Rates_data!W30</f>
        <v>322.13</v>
      </c>
      <c r="L34" s="14" t="str">
        <f aca="false">Rates_data!X30</f>
        <v>median allowed</v>
      </c>
    </row>
    <row r="35" customFormat="false" ht="15" hidden="false" customHeight="false" outlineLevel="0" collapsed="false">
      <c r="A35" s="7" t="s">
        <v>79</v>
      </c>
      <c r="B35" s="7" t="s">
        <v>40</v>
      </c>
      <c r="C35" s="7" t="s">
        <v>68</v>
      </c>
      <c r="D35" s="7" t="s">
        <v>41</v>
      </c>
      <c r="E35" s="7" t="s">
        <v>167</v>
      </c>
      <c r="F35" s="11" t="n">
        <f aca="false">Rates_data!P31</f>
        <v>182.09</v>
      </c>
      <c r="G35" s="11" t="n">
        <f aca="false">Rates_data!AE31</f>
        <v>131.46</v>
      </c>
      <c r="H35" s="13" t="n">
        <f aca="false">IF(G35&gt;0,F35/G35,"")</f>
        <v>1.38513616309143</v>
      </c>
      <c r="I35" s="11" t="n">
        <f aca="false">Rates_data!P32</f>
        <v>185.81</v>
      </c>
      <c r="J35" s="13" t="n">
        <f aca="false">IF(I35&gt;0,F35/I35,"")</f>
        <v>0.979979549001668</v>
      </c>
      <c r="K35" s="11" t="n">
        <f aca="false">Rates_data!W31</f>
        <v>182.84</v>
      </c>
      <c r="L35" s="14" t="str">
        <f aca="false">Rates_data!X31</f>
        <v>median allowed</v>
      </c>
    </row>
    <row r="36" customFormat="false" ht="15" hidden="false" customHeight="false" outlineLevel="0" collapsed="false">
      <c r="A36" s="7" t="s">
        <v>79</v>
      </c>
      <c r="B36" s="7" t="s">
        <v>40</v>
      </c>
      <c r="C36" s="7" t="s">
        <v>75</v>
      </c>
      <c r="D36" s="7" t="s">
        <v>73</v>
      </c>
      <c r="E36" s="7" t="s">
        <v>139</v>
      </c>
      <c r="F36" s="11" t="n">
        <f aca="false">Rates_data!P32</f>
        <v>185.81</v>
      </c>
      <c r="G36" s="11" t="n">
        <f aca="false">Rates_data!AE32</f>
        <v>131.46</v>
      </c>
      <c r="H36" s="13" t="n">
        <f aca="false">IF(G36&gt;0,F36/G36,"")</f>
        <v>1.41343374410467</v>
      </c>
      <c r="I36" s="11" t="n">
        <f aca="false">Rates_data!P32</f>
        <v>185.81</v>
      </c>
      <c r="J36" s="13" t="n">
        <f aca="false">IF(I36&gt;0,F36/I36,"")</f>
        <v>1</v>
      </c>
      <c r="K36" s="11" t="n">
        <f aca="false">Rates_data!W32</f>
        <v>185.81</v>
      </c>
      <c r="L36" s="14" t="str">
        <f aca="false">Rates_data!X32</f>
        <v>median allowed</v>
      </c>
    </row>
    <row r="37" customFormat="false" ht="15" hidden="false" customHeight="false" outlineLevel="0" collapsed="false">
      <c r="A37" s="7" t="s">
        <v>79</v>
      </c>
      <c r="B37" s="7" t="s">
        <v>45</v>
      </c>
      <c r="C37" s="7" t="s">
        <v>43</v>
      </c>
      <c r="D37" s="7" t="s">
        <v>50</v>
      </c>
      <c r="E37" s="7" t="s">
        <v>135</v>
      </c>
      <c r="F37" s="11" t="n">
        <f aca="false">Rates_data!P33</f>
        <v>412.73</v>
      </c>
      <c r="G37" s="11" t="n">
        <f aca="false">Rates_data!AE33</f>
        <v>135.93</v>
      </c>
      <c r="H37" s="13" t="n">
        <f aca="false">IF(G37&gt;0,F37/G37,"")</f>
        <v>3.03634223497388</v>
      </c>
      <c r="I37" s="11" t="n">
        <f aca="false">Rates_data!P40</f>
        <v>153.08</v>
      </c>
      <c r="J37" s="13" t="n">
        <f aca="false">IF(I37&gt;0,F37/I37,"")</f>
        <v>2.69617193624249</v>
      </c>
      <c r="K37" s="11" t="n">
        <f aca="false">Rates_data!W33</f>
        <v>396.72</v>
      </c>
      <c r="L37" s="14" t="str">
        <f aca="false">Rates_data!X33</f>
        <v>median allowed</v>
      </c>
    </row>
    <row r="38" customFormat="false" ht="15" hidden="false" customHeight="false" outlineLevel="0" collapsed="false">
      <c r="A38" s="7" t="s">
        <v>79</v>
      </c>
      <c r="B38" s="7" t="s">
        <v>45</v>
      </c>
      <c r="C38" s="7" t="s">
        <v>43</v>
      </c>
      <c r="D38" s="7" t="s">
        <v>81</v>
      </c>
      <c r="E38" s="7" t="s">
        <v>136</v>
      </c>
      <c r="F38" s="11" t="n">
        <f aca="false">Rates_data!P34</f>
        <v>508.08</v>
      </c>
      <c r="G38" s="11" t="n">
        <f aca="false">Rates_data!AE34</f>
        <v>135.93</v>
      </c>
      <c r="H38" s="13" t="n">
        <f aca="false">IF(G38&gt;0,F38/G38,"")</f>
        <v>3.73780622379166</v>
      </c>
      <c r="I38" s="11" t="n">
        <f aca="false">Rates_data!P40</f>
        <v>153.08</v>
      </c>
      <c r="J38" s="13" t="n">
        <f aca="false">IF(I38&gt;0,F38/I38,"")</f>
        <v>3.31904886333943</v>
      </c>
      <c r="K38" s="11" t="n">
        <f aca="false">Rates_data!W34</f>
        <v>494.21</v>
      </c>
      <c r="L38" s="14" t="str">
        <f aca="false">Rates_data!X34</f>
        <v>median allowed</v>
      </c>
    </row>
    <row r="39" customFormat="false" ht="15" hidden="false" customHeight="false" outlineLevel="0" collapsed="false">
      <c r="A39" s="7" t="s">
        <v>79</v>
      </c>
      <c r="B39" s="7" t="s">
        <v>45</v>
      </c>
      <c r="C39" s="7" t="s">
        <v>43</v>
      </c>
      <c r="D39" s="7" t="s">
        <v>41</v>
      </c>
      <c r="E39" s="7" t="s">
        <v>130</v>
      </c>
      <c r="F39" s="11" t="n">
        <f aca="false">Rates_data!P35</f>
        <v>309.37</v>
      </c>
      <c r="G39" s="11" t="n">
        <f aca="false">Rates_data!AE35</f>
        <v>135.93</v>
      </c>
      <c r="H39" s="13" t="n">
        <f aca="false">IF(G39&gt;0,F39/G39,"")</f>
        <v>2.27595085705878</v>
      </c>
      <c r="I39" s="11" t="n">
        <f aca="false">Rates_data!P40</f>
        <v>153.08</v>
      </c>
      <c r="J39" s="13" t="n">
        <f aca="false">IF(I39&gt;0,F39/I39,"")</f>
        <v>2.0209694277502</v>
      </c>
      <c r="K39" s="11" t="n">
        <f aca="false">Rates_data!W35</f>
        <v>308.44</v>
      </c>
      <c r="L39" s="14" t="str">
        <f aca="false">Rates_data!X35</f>
        <v>median allowed</v>
      </c>
    </row>
    <row r="40" customFormat="false" ht="15" hidden="false" customHeight="false" outlineLevel="0" collapsed="false">
      <c r="A40" s="7" t="s">
        <v>79</v>
      </c>
      <c r="B40" s="7" t="s">
        <v>45</v>
      </c>
      <c r="C40" s="7" t="s">
        <v>43</v>
      </c>
      <c r="D40" s="7" t="s">
        <v>41</v>
      </c>
      <c r="E40" s="7" t="s">
        <v>137</v>
      </c>
      <c r="F40" s="11" t="n">
        <f aca="false">Rates_data!P36</f>
        <v>546.01</v>
      </c>
      <c r="G40" s="11" t="n">
        <f aca="false">Rates_data!AE36</f>
        <v>135.93</v>
      </c>
      <c r="H40" s="13" t="n">
        <f aca="false">IF(G40&gt;0,F40/G40,"")</f>
        <v>4.01684690649599</v>
      </c>
      <c r="I40" s="11" t="n">
        <f aca="false">Rates_data!P40</f>
        <v>153.08</v>
      </c>
      <c r="J40" s="13" t="n">
        <f aca="false">IF(I40&gt;0,F40/I40,"")</f>
        <v>3.56682780245623</v>
      </c>
      <c r="K40" s="11" t="n">
        <f aca="false">Rates_data!W36</f>
        <v>520.48</v>
      </c>
      <c r="L40" s="14" t="str">
        <f aca="false">Rates_data!X36</f>
        <v>median allowed</v>
      </c>
    </row>
    <row r="41" customFormat="false" ht="15" hidden="false" customHeight="false" outlineLevel="0" collapsed="false">
      <c r="A41" s="7" t="s">
        <v>79</v>
      </c>
      <c r="B41" s="7" t="s">
        <v>45</v>
      </c>
      <c r="C41" s="7" t="s">
        <v>43</v>
      </c>
      <c r="D41" s="7" t="s">
        <v>58</v>
      </c>
      <c r="E41" s="7" t="s">
        <v>138</v>
      </c>
      <c r="F41" s="11" t="n">
        <f aca="false">Rates_data!P37</f>
        <v>542.25</v>
      </c>
      <c r="G41" s="11" t="n">
        <f aca="false">Rates_data!AE37</f>
        <v>135.93</v>
      </c>
      <c r="H41" s="13" t="n">
        <f aca="false">IF(G41&gt;0,F41/G41,"")</f>
        <v>3.98918561024056</v>
      </c>
      <c r="I41" s="11" t="n">
        <f aca="false">Rates_data!P40</f>
        <v>153.08</v>
      </c>
      <c r="J41" s="13" t="n">
        <f aca="false">IF(I41&gt;0,F41/I41,"")</f>
        <v>3.54226548210086</v>
      </c>
      <c r="K41" s="11" t="n">
        <f aca="false">Rates_data!W37</f>
        <v>677</v>
      </c>
      <c r="L41" s="14" t="str">
        <f aca="false">Rates_data!X37</f>
        <v>median allowed</v>
      </c>
    </row>
    <row r="42" customFormat="false" ht="15" hidden="false" customHeight="false" outlineLevel="0" collapsed="false">
      <c r="A42" s="7" t="s">
        <v>79</v>
      </c>
      <c r="B42" s="7" t="s">
        <v>45</v>
      </c>
      <c r="C42" s="7" t="s">
        <v>68</v>
      </c>
      <c r="D42" s="7" t="s">
        <v>66</v>
      </c>
      <c r="E42" s="7" t="s">
        <v>139</v>
      </c>
      <c r="F42" s="11" t="n">
        <f aca="false">Rates_data!P38</f>
        <v>153.08</v>
      </c>
      <c r="G42" s="11" t="n">
        <f aca="false">Rates_data!AE38</f>
        <v>135.93</v>
      </c>
      <c r="H42" s="13" t="n">
        <f aca="false">IF(G42&gt;0,F42/G42,"")</f>
        <v>1.12616788052674</v>
      </c>
      <c r="I42" s="11" t="n">
        <f aca="false">Rates_data!P40</f>
        <v>153.08</v>
      </c>
      <c r="J42" s="13" t="n">
        <f aca="false">IF(I42&gt;0,F42/I42,"")</f>
        <v>1</v>
      </c>
      <c r="K42" s="11" t="n">
        <f aca="false">Rates_data!W38</f>
        <v>171.01</v>
      </c>
      <c r="L42" s="14" t="str">
        <f aca="false">Rates_data!X38</f>
        <v>median allowed</v>
      </c>
    </row>
    <row r="43" customFormat="false" ht="15" hidden="false" customHeight="false" outlineLevel="0" collapsed="false">
      <c r="A43" s="7" t="s">
        <v>79</v>
      </c>
      <c r="B43" s="7" t="s">
        <v>45</v>
      </c>
      <c r="C43" s="7" t="s">
        <v>68</v>
      </c>
      <c r="D43" s="7" t="s">
        <v>84</v>
      </c>
      <c r="E43" s="7" t="s">
        <v>139</v>
      </c>
      <c r="F43" s="11" t="n">
        <f aca="false">Rates_data!P39</f>
        <v>153.08</v>
      </c>
      <c r="G43" s="11" t="n">
        <f aca="false">Rates_data!AE39</f>
        <v>135.93</v>
      </c>
      <c r="H43" s="13" t="n">
        <f aca="false">IF(G43&gt;0,F43/G43,"")</f>
        <v>1.12616788052674</v>
      </c>
      <c r="I43" s="11" t="n">
        <f aca="false">Rates_data!P40</f>
        <v>153.08</v>
      </c>
      <c r="J43" s="13" t="n">
        <f aca="false">IF(I43&gt;0,F43/I43,"")</f>
        <v>1</v>
      </c>
      <c r="K43" s="11" t="n">
        <f aca="false">Rates_data!W39</f>
        <v>168.27</v>
      </c>
      <c r="L43" s="14" t="str">
        <f aca="false">Rates_data!X39</f>
        <v>median allowed</v>
      </c>
    </row>
    <row r="44" customFormat="false" ht="15" hidden="false" customHeight="false" outlineLevel="0" collapsed="false">
      <c r="A44" s="7" t="s">
        <v>79</v>
      </c>
      <c r="B44" s="7" t="s">
        <v>45</v>
      </c>
      <c r="C44" s="7" t="s">
        <v>75</v>
      </c>
      <c r="D44" s="7" t="s">
        <v>73</v>
      </c>
      <c r="E44" s="7" t="s">
        <v>139</v>
      </c>
      <c r="F44" s="11" t="n">
        <f aca="false">Rates_data!P40</f>
        <v>153.08</v>
      </c>
      <c r="G44" s="11" t="n">
        <f aca="false">Rates_data!AE40</f>
        <v>135.93</v>
      </c>
      <c r="H44" s="13" t="n">
        <f aca="false">IF(G44&gt;0,F44/G44,"")</f>
        <v>1.12616788052674</v>
      </c>
      <c r="I44" s="11" t="n">
        <f aca="false">Rates_data!P40</f>
        <v>153.08</v>
      </c>
      <c r="J44" s="13" t="n">
        <f aca="false">IF(I44&gt;0,F44/I44,"")</f>
        <v>1</v>
      </c>
      <c r="K44" s="11" t="n">
        <f aca="false">Rates_data!W40</f>
        <v>306.16</v>
      </c>
      <c r="L44" s="14" t="str">
        <f aca="false">Rates_data!X40</f>
        <v>median allowed</v>
      </c>
    </row>
    <row r="45" customFormat="false" ht="15" hidden="false" customHeight="false" outlineLevel="0" collapsed="false">
      <c r="A45" s="7" t="s">
        <v>79</v>
      </c>
      <c r="B45" s="7" t="s">
        <v>60</v>
      </c>
      <c r="C45" s="7" t="s">
        <v>43</v>
      </c>
      <c r="D45" s="7" t="s">
        <v>50</v>
      </c>
      <c r="E45" s="7" t="s">
        <v>135</v>
      </c>
      <c r="F45" s="11" t="n">
        <f aca="false">Rates_data!P41</f>
        <v>479.74</v>
      </c>
      <c r="G45" s="11" t="n">
        <f aca="false">Rates_data!AE41</f>
        <v>220.6</v>
      </c>
      <c r="H45" s="13" t="n">
        <f aca="false">IF(G45&gt;0,F45/G45,"")</f>
        <v>2.17470534904805</v>
      </c>
      <c r="I45" s="11" t="n">
        <f aca="false">Rates_data!P53</f>
        <v>369.81</v>
      </c>
      <c r="J45" s="13" t="n">
        <f aca="false">IF(I45&gt;0,F45/I45,"")</f>
        <v>1.29726075552311</v>
      </c>
      <c r="K45" s="11" t="n">
        <f aca="false">Rates_data!W41</f>
        <v>461.18</v>
      </c>
      <c r="L45" s="14" t="str">
        <f aca="false">Rates_data!X41</f>
        <v>median allowed</v>
      </c>
    </row>
    <row r="46" customFormat="false" ht="15" hidden="false" customHeight="false" outlineLevel="0" collapsed="false">
      <c r="A46" s="7" t="s">
        <v>79</v>
      </c>
      <c r="B46" s="7" t="s">
        <v>60</v>
      </c>
      <c r="C46" s="7" t="s">
        <v>43</v>
      </c>
      <c r="D46" s="7" t="s">
        <v>81</v>
      </c>
      <c r="E46" s="7" t="s">
        <v>136</v>
      </c>
      <c r="F46" s="11" t="n">
        <f aca="false">Rates_data!P42</f>
        <v>590.57</v>
      </c>
      <c r="G46" s="11" t="n">
        <f aca="false">Rates_data!AE42</f>
        <v>220.6</v>
      </c>
      <c r="H46" s="13" t="n">
        <f aca="false">IF(G46&gt;0,F46/G46,"")</f>
        <v>2.67710788757933</v>
      </c>
      <c r="I46" s="11" t="n">
        <f aca="false">Rates_data!P53</f>
        <v>369.81</v>
      </c>
      <c r="J46" s="13" t="n">
        <f aca="false">IF(I46&gt;0,F46/I46,"")</f>
        <v>1.59695519320732</v>
      </c>
      <c r="K46" s="11" t="n">
        <f aca="false">Rates_data!W42</f>
        <v>574.51</v>
      </c>
      <c r="L46" s="14" t="str">
        <f aca="false">Rates_data!X42</f>
        <v>median allowed</v>
      </c>
    </row>
    <row r="47" customFormat="false" ht="15" hidden="false" customHeight="false" outlineLevel="0" collapsed="false">
      <c r="A47" s="7" t="s">
        <v>79</v>
      </c>
      <c r="B47" s="7" t="s">
        <v>60</v>
      </c>
      <c r="C47" s="7" t="s">
        <v>43</v>
      </c>
      <c r="D47" s="7" t="s">
        <v>41</v>
      </c>
      <c r="E47" s="7" t="s">
        <v>130</v>
      </c>
      <c r="F47" s="11" t="n">
        <f aca="false">Rates_data!P43</f>
        <v>359.6</v>
      </c>
      <c r="G47" s="11" t="n">
        <f aca="false">Rates_data!AE43</f>
        <v>220.6</v>
      </c>
      <c r="H47" s="13" t="n">
        <f aca="false">IF(G47&gt;0,F47/G47,"")</f>
        <v>1.63009972801451</v>
      </c>
      <c r="I47" s="11" t="n">
        <f aca="false">Rates_data!P53</f>
        <v>369.81</v>
      </c>
      <c r="J47" s="13" t="n">
        <f aca="false">IF(I47&gt;0,F47/I47,"")</f>
        <v>0.972391227927855</v>
      </c>
      <c r="K47" s="11" t="n">
        <f aca="false">Rates_data!W43</f>
        <v>358.56</v>
      </c>
      <c r="L47" s="14" t="str">
        <f aca="false">Rates_data!X43</f>
        <v>median allowed</v>
      </c>
    </row>
    <row r="48" customFormat="false" ht="15" hidden="false" customHeight="false" outlineLevel="0" collapsed="false">
      <c r="A48" s="7" t="s">
        <v>79</v>
      </c>
      <c r="B48" s="7" t="s">
        <v>60</v>
      </c>
      <c r="C48" s="7" t="s">
        <v>43</v>
      </c>
      <c r="D48" s="7" t="s">
        <v>41</v>
      </c>
      <c r="E48" s="7" t="s">
        <v>137</v>
      </c>
      <c r="F48" s="11" t="n">
        <f aca="false">Rates_data!P44</f>
        <v>634.66</v>
      </c>
      <c r="G48" s="11" t="n">
        <f aca="false">Rates_data!AE44</f>
        <v>220.6</v>
      </c>
      <c r="H48" s="13" t="n">
        <f aca="false">IF(G48&gt;0,F48/G48,"")</f>
        <v>2.87697189483228</v>
      </c>
      <c r="I48" s="11" t="n">
        <f aca="false">Rates_data!P53</f>
        <v>369.81</v>
      </c>
      <c r="J48" s="13" t="n">
        <f aca="false">IF(I48&gt;0,F48/I48,"")</f>
        <v>1.7161785781888</v>
      </c>
      <c r="K48" s="11" t="n">
        <f aca="false">Rates_data!W44</f>
        <v>605.05</v>
      </c>
      <c r="L48" s="14" t="str">
        <f aca="false">Rates_data!X44</f>
        <v>median allowed</v>
      </c>
    </row>
    <row r="49" customFormat="false" ht="15" hidden="false" customHeight="false" outlineLevel="0" collapsed="false">
      <c r="A49" s="7" t="s">
        <v>79</v>
      </c>
      <c r="B49" s="7" t="s">
        <v>60</v>
      </c>
      <c r="C49" s="7" t="s">
        <v>43</v>
      </c>
      <c r="D49" s="7" t="s">
        <v>58</v>
      </c>
      <c r="E49" s="7" t="s">
        <v>138</v>
      </c>
      <c r="F49" s="11" t="n">
        <f aca="false">Rates_data!P45</f>
        <v>630.29</v>
      </c>
      <c r="G49" s="11" t="n">
        <f aca="false">Rates_data!AE45</f>
        <v>220.6</v>
      </c>
      <c r="H49" s="13" t="n">
        <f aca="false">IF(G49&gt;0,F49/G49,"")</f>
        <v>2.85716228467815</v>
      </c>
      <c r="I49" s="11" t="n">
        <f aca="false">Rates_data!P53</f>
        <v>369.81</v>
      </c>
      <c r="J49" s="13" t="n">
        <f aca="false">IF(I49&gt;0,F49/I49,"")</f>
        <v>1.70436169925097</v>
      </c>
      <c r="K49" s="11" t="n">
        <f aca="false">Rates_data!W45</f>
        <v>787</v>
      </c>
      <c r="L49" s="14" t="str">
        <f aca="false">Rates_data!X45</f>
        <v>median allowed</v>
      </c>
    </row>
    <row r="50" customFormat="false" ht="15" hidden="false" customHeight="false" outlineLevel="0" collapsed="false">
      <c r="A50" s="7" t="s">
        <v>79</v>
      </c>
      <c r="B50" s="7" t="s">
        <v>60</v>
      </c>
      <c r="C50" s="7" t="s">
        <v>68</v>
      </c>
      <c r="D50" s="7" t="s">
        <v>66</v>
      </c>
      <c r="E50" s="7" t="s">
        <v>139</v>
      </c>
      <c r="F50" s="11" t="n">
        <f aca="false">Rates_data!P46</f>
        <v>369.81</v>
      </c>
      <c r="G50" s="11" t="n">
        <f aca="false">Rates_data!AE46</f>
        <v>220.6</v>
      </c>
      <c r="H50" s="13" t="n">
        <f aca="false">IF(G50&gt;0,F50/G50,"")</f>
        <v>1.67638259292838</v>
      </c>
      <c r="I50" s="11" t="n">
        <f aca="false">Rates_data!P53</f>
        <v>369.81</v>
      </c>
      <c r="J50" s="13" t="n">
        <f aca="false">IF(I50&gt;0,F50/I50,"")</f>
        <v>1</v>
      </c>
      <c r="K50" s="11" t="n">
        <f aca="false">Rates_data!W46</f>
        <v>363.89</v>
      </c>
      <c r="L50" s="14" t="str">
        <f aca="false">Rates_data!X46</f>
        <v>median allowed</v>
      </c>
    </row>
    <row r="51" customFormat="false" ht="15" hidden="false" customHeight="false" outlineLevel="0" collapsed="false">
      <c r="A51" s="7" t="s">
        <v>79</v>
      </c>
      <c r="B51" s="7" t="s">
        <v>60</v>
      </c>
      <c r="C51" s="7" t="s">
        <v>68</v>
      </c>
      <c r="D51" s="7" t="s">
        <v>84</v>
      </c>
      <c r="E51" s="7" t="s">
        <v>139</v>
      </c>
      <c r="F51" s="11" t="n">
        <f aca="false">Rates_data!P47</f>
        <v>369.81</v>
      </c>
      <c r="G51" s="11" t="n">
        <f aca="false">Rates_data!AE47</f>
        <v>220.6</v>
      </c>
      <c r="H51" s="13" t="n">
        <f aca="false">IF(G51&gt;0,F51/G51,"")</f>
        <v>1.67638259292838</v>
      </c>
      <c r="I51" s="11" t="n">
        <f aca="false">Rates_data!P53</f>
        <v>369.81</v>
      </c>
      <c r="J51" s="13" t="n">
        <f aca="false">IF(I51&gt;0,F51/I51,"")</f>
        <v>1</v>
      </c>
      <c r="K51" s="11" t="n">
        <f aca="false">Rates_data!W47</f>
        <v>366.63</v>
      </c>
      <c r="L51" s="14" t="str">
        <f aca="false">Rates_data!X47</f>
        <v>median allowed</v>
      </c>
    </row>
    <row r="52" customFormat="false" ht="15" hidden="false" customHeight="false" outlineLevel="0" collapsed="false">
      <c r="A52" s="7" t="s">
        <v>79</v>
      </c>
      <c r="B52" s="7" t="s">
        <v>60</v>
      </c>
      <c r="C52" s="7" t="s">
        <v>68</v>
      </c>
      <c r="D52" s="7" t="s">
        <v>63</v>
      </c>
      <c r="E52" s="7" t="s">
        <v>168</v>
      </c>
      <c r="F52" s="11" t="n">
        <f aca="false">Rates_data!P48</f>
        <v>362.41</v>
      </c>
      <c r="G52" s="11" t="n">
        <f aca="false">Rates_data!AE48</f>
        <v>220.6</v>
      </c>
      <c r="H52" s="13" t="n">
        <f aca="false">IF(G52&gt;0,F52/G52,"")</f>
        <v>1.64283771532185</v>
      </c>
      <c r="I52" s="11" t="n">
        <f aca="false">Rates_data!P53</f>
        <v>369.81</v>
      </c>
      <c r="J52" s="13" t="n">
        <f aca="false">IF(I52&gt;0,F52/I52,"")</f>
        <v>0.979989724453098</v>
      </c>
      <c r="K52" s="11" t="n">
        <f aca="false">Rates_data!W48</f>
        <v>363.89</v>
      </c>
      <c r="L52" s="14" t="str">
        <f aca="false">Rates_data!X48</f>
        <v>median allowed</v>
      </c>
    </row>
    <row r="53" customFormat="false" ht="15" hidden="false" customHeight="false" outlineLevel="0" collapsed="false">
      <c r="A53" s="7" t="s">
        <v>79</v>
      </c>
      <c r="B53" s="7" t="s">
        <v>60</v>
      </c>
      <c r="C53" s="7" t="s">
        <v>68</v>
      </c>
      <c r="D53" s="7" t="s">
        <v>69</v>
      </c>
      <c r="E53" s="7" t="s">
        <v>139</v>
      </c>
      <c r="F53" s="11" t="n">
        <f aca="false">Rates_data!P49</f>
        <v>369.81</v>
      </c>
      <c r="G53" s="11" t="n">
        <f aca="false">Rates_data!AE49</f>
        <v>220.6</v>
      </c>
      <c r="H53" s="13" t="n">
        <f aca="false">IF(G53&gt;0,F53/G53,"")</f>
        <v>1.67638259292838</v>
      </c>
      <c r="I53" s="11" t="n">
        <f aca="false">Rates_data!P53</f>
        <v>369.81</v>
      </c>
      <c r="J53" s="13" t="n">
        <f aca="false">IF(I53&gt;0,F53/I53,"")</f>
        <v>1</v>
      </c>
      <c r="K53" s="11" t="n">
        <f aca="false">Rates_data!W49</f>
        <v>362.41</v>
      </c>
      <c r="L53" s="14" t="str">
        <f aca="false">Rates_data!X49</f>
        <v>median allowed</v>
      </c>
    </row>
    <row r="54" customFormat="false" ht="15" hidden="false" customHeight="false" outlineLevel="0" collapsed="false">
      <c r="A54" s="7" t="s">
        <v>79</v>
      </c>
      <c r="B54" s="7" t="s">
        <v>60</v>
      </c>
      <c r="C54" s="7" t="s">
        <v>68</v>
      </c>
      <c r="D54" s="7" t="s">
        <v>88</v>
      </c>
      <c r="E54" s="7" t="s">
        <v>139</v>
      </c>
      <c r="F54" s="11" t="n">
        <f aca="false">Rates_data!P50</f>
        <v>369.81</v>
      </c>
      <c r="G54" s="11" t="n">
        <f aca="false">Rates_data!AE50</f>
        <v>220.6</v>
      </c>
      <c r="H54" s="13" t="n">
        <f aca="false">IF(G54&gt;0,F54/G54,"")</f>
        <v>1.67638259292838</v>
      </c>
      <c r="I54" s="11" t="n">
        <f aca="false">Rates_data!P53</f>
        <v>369.81</v>
      </c>
      <c r="J54" s="13" t="n">
        <f aca="false">IF(I54&gt;0,F54/I54,"")</f>
        <v>1</v>
      </c>
      <c r="K54" s="11" t="n">
        <f aca="false">Rates_data!W50</f>
        <v>363.89</v>
      </c>
      <c r="L54" s="14" t="str">
        <f aca="false">Rates_data!X50</f>
        <v>median allowed</v>
      </c>
    </row>
    <row r="55" customFormat="false" ht="15" hidden="false" customHeight="false" outlineLevel="0" collapsed="false">
      <c r="A55" s="7" t="s">
        <v>79</v>
      </c>
      <c r="B55" s="7" t="s">
        <v>60</v>
      </c>
      <c r="C55" s="7" t="s">
        <v>68</v>
      </c>
      <c r="D55" s="7" t="s">
        <v>71</v>
      </c>
      <c r="E55" s="7" t="s">
        <v>168</v>
      </c>
      <c r="F55" s="11" t="n">
        <f aca="false">Rates_data!P51</f>
        <v>362.41</v>
      </c>
      <c r="G55" s="11" t="n">
        <f aca="false">Rates_data!AE51</f>
        <v>220.6</v>
      </c>
      <c r="H55" s="13" t="n">
        <f aca="false">IF(G55&gt;0,F55/G55,"")</f>
        <v>1.64283771532185</v>
      </c>
      <c r="I55" s="11" t="n">
        <f aca="false">Rates_data!P53</f>
        <v>369.81</v>
      </c>
      <c r="J55" s="13" t="n">
        <f aca="false">IF(I55&gt;0,F55/I55,"")</f>
        <v>0.979989724453098</v>
      </c>
      <c r="K55" s="11" t="n">
        <f aca="false">Rates_data!W51</f>
        <v>362.81</v>
      </c>
      <c r="L55" s="14" t="str">
        <f aca="false">Rates_data!X51</f>
        <v>median allowed</v>
      </c>
    </row>
    <row r="56" customFormat="false" ht="15" hidden="false" customHeight="false" outlineLevel="0" collapsed="false">
      <c r="A56" s="7" t="s">
        <v>79</v>
      </c>
      <c r="B56" s="7" t="s">
        <v>60</v>
      </c>
      <c r="C56" s="7" t="s">
        <v>68</v>
      </c>
      <c r="D56" s="7" t="s">
        <v>41</v>
      </c>
      <c r="E56" s="7" t="s">
        <v>167</v>
      </c>
      <c r="F56" s="11" t="n">
        <f aca="false">Rates_data!P52</f>
        <v>362.41</v>
      </c>
      <c r="G56" s="11" t="n">
        <f aca="false">Rates_data!AE52</f>
        <v>220.6</v>
      </c>
      <c r="H56" s="13" t="n">
        <f aca="false">IF(G56&gt;0,F56/G56,"")</f>
        <v>1.64283771532185</v>
      </c>
      <c r="I56" s="11" t="n">
        <f aca="false">Rates_data!P53</f>
        <v>369.81</v>
      </c>
      <c r="J56" s="13" t="n">
        <f aca="false">IF(I56&gt;0,F56/I56,"")</f>
        <v>0.979989724453098</v>
      </c>
      <c r="K56" s="11" t="n">
        <f aca="false">Rates_data!W52</f>
        <v>362.92</v>
      </c>
      <c r="L56" s="14" t="str">
        <f aca="false">Rates_data!X52</f>
        <v>median allowed</v>
      </c>
    </row>
    <row r="57" customFormat="false" ht="15" hidden="false" customHeight="false" outlineLevel="0" collapsed="false">
      <c r="A57" s="7" t="s">
        <v>79</v>
      </c>
      <c r="B57" s="7" t="s">
        <v>60</v>
      </c>
      <c r="C57" s="7" t="s">
        <v>75</v>
      </c>
      <c r="D57" s="7" t="s">
        <v>73</v>
      </c>
      <c r="E57" s="7" t="s">
        <v>139</v>
      </c>
      <c r="F57" s="11" t="n">
        <f aca="false">Rates_data!P53</f>
        <v>369.81</v>
      </c>
      <c r="G57" s="11" t="n">
        <f aca="false">Rates_data!AE53</f>
        <v>220.6</v>
      </c>
      <c r="H57" s="13" t="n">
        <f aca="false">IF(G57&gt;0,F57/G57,"")</f>
        <v>1.67638259292838</v>
      </c>
      <c r="I57" s="11" t="n">
        <f aca="false">Rates_data!P53</f>
        <v>369.81</v>
      </c>
      <c r="J57" s="13" t="n">
        <f aca="false">IF(I57&gt;0,F57/I57,"")</f>
        <v>1</v>
      </c>
      <c r="K57" s="11" t="n">
        <f aca="false">Rates_data!W53</f>
        <v>369.81</v>
      </c>
      <c r="L57" s="14" t="str">
        <f aca="false">Rates_data!X53</f>
        <v>median allowed</v>
      </c>
    </row>
    <row r="58" customFormat="false" ht="15" hidden="false" customHeight="false" outlineLevel="0" collapsed="false">
      <c r="A58" s="7" t="s">
        <v>79</v>
      </c>
      <c r="B58" s="7" t="s">
        <v>60</v>
      </c>
      <c r="C58" s="7" t="s">
        <v>78</v>
      </c>
      <c r="D58" s="7" t="s">
        <v>77</v>
      </c>
      <c r="E58" s="7" t="s">
        <v>169</v>
      </c>
      <c r="F58" s="11" t="n">
        <f aca="false">Rates_data!P54</f>
        <v>351.32</v>
      </c>
      <c r="G58" s="11" t="n">
        <f aca="false">Rates_data!AE54</f>
        <v>220.6</v>
      </c>
      <c r="H58" s="13" t="n">
        <f aca="false">IF(G58&gt;0,F58/G58,"")</f>
        <v>1.59256572982774</v>
      </c>
      <c r="I58" s="11" t="n">
        <f aca="false">Rates_data!P53</f>
        <v>369.81</v>
      </c>
      <c r="J58" s="13" t="n">
        <f aca="false">IF(I58&gt;0,F58/I58,"")</f>
        <v>0.950001352045645</v>
      </c>
      <c r="K58" s="11" t="n">
        <f aca="false">Rates_data!W54</f>
        <v>351.32</v>
      </c>
      <c r="L58" s="14" t="str">
        <f aca="false">Rates_data!X54</f>
        <v>median allowed</v>
      </c>
    </row>
    <row r="59" customFormat="false" ht="15" hidden="false" customHeight="false" outlineLevel="0" collapsed="false">
      <c r="A59" s="7" t="s">
        <v>91</v>
      </c>
      <c r="B59" s="7" t="s">
        <v>92</v>
      </c>
      <c r="C59" s="7" t="s">
        <v>43</v>
      </c>
      <c r="D59" s="7" t="s">
        <v>93</v>
      </c>
      <c r="E59" s="7" t="s">
        <v>141</v>
      </c>
      <c r="F59" s="11" t="n">
        <f aca="false">Rates_data!P56</f>
        <v>1091.24</v>
      </c>
      <c r="G59" s="11" t="n">
        <f aca="false">Rates_data!AE56</f>
        <v>381.24</v>
      </c>
      <c r="H59" s="13" t="n">
        <f aca="false">IF(G59&gt;0,F59/G59,"")</f>
        <v>2.8623439303326</v>
      </c>
      <c r="I59" s="7" t="s">
        <v>161</v>
      </c>
      <c r="J59" s="7"/>
      <c r="K59" s="11" t="n">
        <f aca="false">Rates_data!W56</f>
        <v>1091.24</v>
      </c>
      <c r="L59" s="14" t="str">
        <f aca="false">Rates_data!X56</f>
        <v>negotiated</v>
      </c>
    </row>
    <row r="60" customFormat="false" ht="15" hidden="false" customHeight="false" outlineLevel="0" collapsed="false">
      <c r="A60" s="7" t="s">
        <v>91</v>
      </c>
      <c r="B60" s="7" t="s">
        <v>92</v>
      </c>
      <c r="C60" s="7" t="s">
        <v>43</v>
      </c>
      <c r="D60" s="7" t="s">
        <v>93</v>
      </c>
      <c r="E60" s="7" t="s">
        <v>142</v>
      </c>
      <c r="F60" s="11" t="n">
        <f aca="false">Rates_data!P57</f>
        <v>1141.22</v>
      </c>
      <c r="G60" s="11" t="n">
        <f aca="false">Rates_data!AE57</f>
        <v>381.24</v>
      </c>
      <c r="H60" s="13" t="n">
        <f aca="false">IF(G60&gt;0,F60/G60,"")</f>
        <v>2.99344245094953</v>
      </c>
      <c r="I60" s="7" t="s">
        <v>161</v>
      </c>
      <c r="J60" s="7"/>
      <c r="K60" s="11" t="n">
        <f aca="false">Rates_data!W57</f>
        <v>1141.22</v>
      </c>
      <c r="L60" s="14" t="str">
        <f aca="false">Rates_data!X57</f>
        <v>negotiated</v>
      </c>
    </row>
    <row r="61" customFormat="false" ht="15" hidden="false" customHeight="false" outlineLevel="0" collapsed="false">
      <c r="A61" s="7" t="s">
        <v>91</v>
      </c>
      <c r="B61" s="7" t="s">
        <v>92</v>
      </c>
      <c r="C61" s="7" t="s">
        <v>43</v>
      </c>
      <c r="D61" s="7" t="s">
        <v>94</v>
      </c>
      <c r="E61" s="7" t="s">
        <v>143</v>
      </c>
      <c r="F61" s="11" t="n">
        <f aca="false">Rates_data!P58</f>
        <v>1329.39</v>
      </c>
      <c r="G61" s="11" t="n">
        <f aca="false">Rates_data!AE58</f>
        <v>381.24</v>
      </c>
      <c r="H61" s="13" t="n">
        <f aca="false">IF(G61&gt;0,F61/G61,"")</f>
        <v>3.48701605288008</v>
      </c>
      <c r="I61" s="7" t="s">
        <v>161</v>
      </c>
      <c r="J61" s="7"/>
      <c r="K61" s="11" t="n">
        <f aca="false">Rates_data!W58</f>
        <v>1329.39</v>
      </c>
      <c r="L61" s="14" t="str">
        <f aca="false">Rates_data!X58</f>
        <v>negotiated</v>
      </c>
    </row>
    <row r="62" customFormat="false" ht="15" hidden="false" customHeight="false" outlineLevel="0" collapsed="false">
      <c r="A62" s="7" t="s">
        <v>91</v>
      </c>
      <c r="B62" s="7" t="s">
        <v>92</v>
      </c>
      <c r="C62" s="7" t="s">
        <v>43</v>
      </c>
      <c r="D62" s="7" t="s">
        <v>96</v>
      </c>
      <c r="E62" s="7" t="s">
        <v>170</v>
      </c>
      <c r="F62" s="11" t="n">
        <f aca="false">Rates_data!P59</f>
        <v>502.78</v>
      </c>
      <c r="G62" s="11" t="n">
        <f aca="false">Rates_data!AE59</f>
        <v>381.24</v>
      </c>
      <c r="H62" s="13" t="n">
        <f aca="false">IF(G62&gt;0,F62/G62,"")</f>
        <v>1.3188018046375</v>
      </c>
      <c r="I62" s="7" t="s">
        <v>161</v>
      </c>
      <c r="J62" s="7"/>
      <c r="K62" s="11" t="n">
        <f aca="false">Rates_data!W59</f>
        <v>502.78</v>
      </c>
      <c r="L62" s="14" t="str">
        <f aca="false">Rates_data!X59</f>
        <v>negotiated</v>
      </c>
    </row>
    <row r="63" customFormat="false" ht="15" hidden="false" customHeight="false" outlineLevel="0" collapsed="false">
      <c r="A63" s="7" t="s">
        <v>91</v>
      </c>
      <c r="B63" s="7" t="s">
        <v>40</v>
      </c>
      <c r="C63" s="7" t="s">
        <v>43</v>
      </c>
      <c r="D63" s="7" t="s">
        <v>93</v>
      </c>
      <c r="E63" s="7" t="s">
        <v>141</v>
      </c>
      <c r="F63" s="11" t="n">
        <f aca="false">Rates_data!P61</f>
        <v>325.87</v>
      </c>
      <c r="G63" s="11" t="n">
        <f aca="false">Rates_data!AE61</f>
        <v>131.46</v>
      </c>
      <c r="H63" s="13" t="n">
        <f aca="false">IF(G63&gt;0,F63/G63,"")</f>
        <v>2.47885288300624</v>
      </c>
      <c r="I63" s="7" t="s">
        <v>161</v>
      </c>
      <c r="J63" s="7"/>
      <c r="K63" s="11" t="n">
        <f aca="false">Rates_data!W61</f>
        <v>325.87</v>
      </c>
      <c r="L63" s="14" t="str">
        <f aca="false">Rates_data!X61</f>
        <v>negotiated</v>
      </c>
    </row>
    <row r="64" customFormat="false" ht="15" hidden="false" customHeight="false" outlineLevel="0" collapsed="false">
      <c r="A64" s="7" t="s">
        <v>91</v>
      </c>
      <c r="B64" s="7" t="s">
        <v>40</v>
      </c>
      <c r="C64" s="7" t="s">
        <v>43</v>
      </c>
      <c r="D64" s="7" t="s">
        <v>93</v>
      </c>
      <c r="E64" s="7" t="s">
        <v>142</v>
      </c>
      <c r="F64" s="11" t="n">
        <f aca="false">Rates_data!P62</f>
        <v>340.79</v>
      </c>
      <c r="G64" s="11" t="n">
        <f aca="false">Rates_data!AE62</f>
        <v>131.46</v>
      </c>
      <c r="H64" s="13" t="n">
        <f aca="false">IF(G64&gt;0,F64/G64,"")</f>
        <v>2.59234748212384</v>
      </c>
      <c r="I64" s="7" t="s">
        <v>161</v>
      </c>
      <c r="J64" s="7"/>
      <c r="K64" s="11" t="n">
        <f aca="false">Rates_data!W62</f>
        <v>340.79</v>
      </c>
      <c r="L64" s="14" t="str">
        <f aca="false">Rates_data!X62</f>
        <v>negotiated</v>
      </c>
    </row>
    <row r="65" customFormat="false" ht="15" hidden="false" customHeight="false" outlineLevel="0" collapsed="false">
      <c r="A65" s="7" t="s">
        <v>91</v>
      </c>
      <c r="B65" s="7" t="s">
        <v>40</v>
      </c>
      <c r="C65" s="7" t="s">
        <v>43</v>
      </c>
      <c r="D65" s="7" t="s">
        <v>94</v>
      </c>
      <c r="E65" s="7" t="s">
        <v>143</v>
      </c>
      <c r="F65" s="11" t="n">
        <f aca="false">Rates_data!P63</f>
        <v>396.97</v>
      </c>
      <c r="G65" s="11" t="n">
        <f aca="false">Rates_data!AE63</f>
        <v>131.46</v>
      </c>
      <c r="H65" s="13" t="n">
        <f aca="false">IF(G65&gt;0,F65/G65,"")</f>
        <v>3.01970181043663</v>
      </c>
      <c r="I65" s="7" t="s">
        <v>161</v>
      </c>
      <c r="J65" s="7"/>
      <c r="K65" s="11" t="n">
        <f aca="false">Rates_data!W63</f>
        <v>396.97</v>
      </c>
      <c r="L65" s="14" t="str">
        <f aca="false">Rates_data!X63</f>
        <v>negotiated</v>
      </c>
    </row>
    <row r="66" customFormat="false" ht="15" hidden="false" customHeight="false" outlineLevel="0" collapsed="false">
      <c r="A66" s="7" t="s">
        <v>91</v>
      </c>
      <c r="B66" s="7" t="s">
        <v>98</v>
      </c>
      <c r="C66" s="7" t="s">
        <v>43</v>
      </c>
      <c r="D66" s="7" t="s">
        <v>93</v>
      </c>
      <c r="E66" s="7" t="s">
        <v>141</v>
      </c>
      <c r="F66" s="11" t="n">
        <f aca="false">Rates_data!P65</f>
        <v>255.23</v>
      </c>
      <c r="G66" s="11" t="n">
        <f aca="false">Rates_data!AE65</f>
        <v>135.93</v>
      </c>
      <c r="H66" s="13" t="n">
        <f aca="false">IF(G66&gt;0,F66/G66,"")</f>
        <v>1.87765761789156</v>
      </c>
      <c r="I66" s="7" t="s">
        <v>161</v>
      </c>
      <c r="J66" s="7"/>
      <c r="K66" s="11" t="n">
        <f aca="false">Rates_data!W65</f>
        <v>255.23</v>
      </c>
      <c r="L66" s="14" t="str">
        <f aca="false">Rates_data!X65</f>
        <v>negotiated</v>
      </c>
    </row>
    <row r="67" customFormat="false" ht="15" hidden="false" customHeight="false" outlineLevel="0" collapsed="false">
      <c r="A67" s="7" t="s">
        <v>91</v>
      </c>
      <c r="B67" s="7" t="s">
        <v>98</v>
      </c>
      <c r="C67" s="7" t="s">
        <v>43</v>
      </c>
      <c r="D67" s="7" t="s">
        <v>93</v>
      </c>
      <c r="E67" s="7" t="s">
        <v>142</v>
      </c>
      <c r="F67" s="11" t="n">
        <f aca="false">Rates_data!P66</f>
        <v>266.92</v>
      </c>
      <c r="G67" s="11" t="n">
        <f aca="false">Rates_data!AE66</f>
        <v>135.93</v>
      </c>
      <c r="H67" s="13" t="n">
        <f aca="false">IF(G67&gt;0,F67/G67,"")</f>
        <v>1.96365776502612</v>
      </c>
      <c r="I67" s="7" t="s">
        <v>161</v>
      </c>
      <c r="J67" s="7"/>
      <c r="K67" s="11" t="n">
        <f aca="false">Rates_data!W66</f>
        <v>266.92</v>
      </c>
      <c r="L67" s="14" t="str">
        <f aca="false">Rates_data!X66</f>
        <v>negotiated</v>
      </c>
    </row>
    <row r="68" customFormat="false" ht="15" hidden="false" customHeight="false" outlineLevel="0" collapsed="false">
      <c r="A68" s="7" t="s">
        <v>91</v>
      </c>
      <c r="B68" s="7" t="s">
        <v>98</v>
      </c>
      <c r="C68" s="7" t="s">
        <v>43</v>
      </c>
      <c r="D68" s="7" t="s">
        <v>94</v>
      </c>
      <c r="E68" s="7" t="s">
        <v>143</v>
      </c>
      <c r="F68" s="11" t="n">
        <f aca="false">Rates_data!P67</f>
        <v>310.92</v>
      </c>
      <c r="G68" s="11" t="n">
        <f aca="false">Rates_data!AE67</f>
        <v>135.93</v>
      </c>
      <c r="H68" s="13" t="n">
        <f aca="false">IF(G68&gt;0,F68/G68,"")</f>
        <v>2.28735378503642</v>
      </c>
      <c r="I68" s="7" t="s">
        <v>161</v>
      </c>
      <c r="J68" s="7"/>
      <c r="K68" s="11" t="n">
        <f aca="false">Rates_data!W67</f>
        <v>310.92</v>
      </c>
      <c r="L68" s="14" t="str">
        <f aca="false">Rates_data!X67</f>
        <v>negotiated</v>
      </c>
    </row>
    <row r="69" customFormat="false" ht="15" hidden="false" customHeight="false" outlineLevel="0" collapsed="false">
      <c r="A69" s="7" t="s">
        <v>91</v>
      </c>
      <c r="B69" s="7" t="s">
        <v>45</v>
      </c>
      <c r="C69" s="7" t="s">
        <v>43</v>
      </c>
      <c r="D69" s="7" t="s">
        <v>93</v>
      </c>
      <c r="E69" s="7" t="s">
        <v>141</v>
      </c>
      <c r="F69" s="11" t="n">
        <f aca="false">Rates_data!P69</f>
        <v>255.23</v>
      </c>
      <c r="G69" s="11" t="n">
        <f aca="false">Rates_data!AE69</f>
        <v>135.93</v>
      </c>
      <c r="H69" s="13" t="n">
        <f aca="false">IF(G69&gt;0,F69/G69,"")</f>
        <v>1.87765761789156</v>
      </c>
      <c r="I69" s="7" t="s">
        <v>161</v>
      </c>
      <c r="J69" s="7"/>
      <c r="K69" s="11" t="n">
        <f aca="false">Rates_data!W69</f>
        <v>255.23</v>
      </c>
      <c r="L69" s="14" t="str">
        <f aca="false">Rates_data!X69</f>
        <v>negotiated</v>
      </c>
    </row>
    <row r="70" customFormat="false" ht="15" hidden="false" customHeight="false" outlineLevel="0" collapsed="false">
      <c r="A70" s="7" t="s">
        <v>91</v>
      </c>
      <c r="B70" s="7" t="s">
        <v>45</v>
      </c>
      <c r="C70" s="7" t="s">
        <v>43</v>
      </c>
      <c r="D70" s="7" t="s">
        <v>93</v>
      </c>
      <c r="E70" s="7" t="s">
        <v>142</v>
      </c>
      <c r="F70" s="11" t="n">
        <f aca="false">Rates_data!P70</f>
        <v>266.92</v>
      </c>
      <c r="G70" s="11" t="n">
        <f aca="false">Rates_data!AE70</f>
        <v>135.93</v>
      </c>
      <c r="H70" s="13" t="n">
        <f aca="false">IF(G70&gt;0,F70/G70,"")</f>
        <v>1.96365776502612</v>
      </c>
      <c r="I70" s="7" t="s">
        <v>161</v>
      </c>
      <c r="J70" s="7"/>
      <c r="K70" s="11" t="n">
        <f aca="false">Rates_data!W70</f>
        <v>266.92</v>
      </c>
      <c r="L70" s="14" t="str">
        <f aca="false">Rates_data!X70</f>
        <v>negotiated</v>
      </c>
    </row>
    <row r="71" customFormat="false" ht="15" hidden="false" customHeight="false" outlineLevel="0" collapsed="false">
      <c r="A71" s="7" t="s">
        <v>91</v>
      </c>
      <c r="B71" s="7" t="s">
        <v>45</v>
      </c>
      <c r="C71" s="7" t="s">
        <v>43</v>
      </c>
      <c r="D71" s="7" t="s">
        <v>94</v>
      </c>
      <c r="E71" s="7" t="s">
        <v>143</v>
      </c>
      <c r="F71" s="11" t="n">
        <f aca="false">Rates_data!P71</f>
        <v>310.92</v>
      </c>
      <c r="G71" s="11" t="n">
        <f aca="false">Rates_data!AE71</f>
        <v>135.93</v>
      </c>
      <c r="H71" s="13" t="n">
        <f aca="false">IF(G71&gt;0,F71/G71,"")</f>
        <v>2.28735378503642</v>
      </c>
      <c r="I71" s="7" t="s">
        <v>161</v>
      </c>
      <c r="J71" s="7"/>
      <c r="K71" s="11" t="n">
        <f aca="false">Rates_data!W71</f>
        <v>310.92</v>
      </c>
      <c r="L71" s="14" t="str">
        <f aca="false">Rates_data!X71</f>
        <v>negotiated</v>
      </c>
    </row>
    <row r="72" customFormat="false" ht="15" hidden="false" customHeight="false" outlineLevel="0" collapsed="false">
      <c r="A72" s="7" t="s">
        <v>91</v>
      </c>
      <c r="B72" s="7" t="s">
        <v>60</v>
      </c>
      <c r="C72" s="7" t="s">
        <v>43</v>
      </c>
      <c r="D72" s="7" t="s">
        <v>93</v>
      </c>
      <c r="E72" s="7" t="s">
        <v>141</v>
      </c>
      <c r="F72" s="11" t="n">
        <f aca="false">Rates_data!P73</f>
        <v>325.87</v>
      </c>
      <c r="G72" s="11" t="n">
        <f aca="false">Rates_data!AE73</f>
        <v>220.6</v>
      </c>
      <c r="H72" s="13" t="n">
        <f aca="false">IF(G72&gt;0,F72/G72,"")</f>
        <v>1.4771985494107</v>
      </c>
      <c r="I72" s="7" t="s">
        <v>161</v>
      </c>
      <c r="J72" s="7"/>
      <c r="K72" s="11" t="n">
        <f aca="false">Rates_data!W73</f>
        <v>325.87</v>
      </c>
      <c r="L72" s="14" t="str">
        <f aca="false">Rates_data!X73</f>
        <v>negotiated</v>
      </c>
    </row>
    <row r="73" customFormat="false" ht="15" hidden="false" customHeight="false" outlineLevel="0" collapsed="false">
      <c r="A73" s="7" t="s">
        <v>91</v>
      </c>
      <c r="B73" s="7" t="s">
        <v>60</v>
      </c>
      <c r="C73" s="7" t="s">
        <v>43</v>
      </c>
      <c r="D73" s="7" t="s">
        <v>93</v>
      </c>
      <c r="E73" s="7" t="s">
        <v>142</v>
      </c>
      <c r="F73" s="11" t="n">
        <f aca="false">Rates_data!P74</f>
        <v>340.79</v>
      </c>
      <c r="G73" s="11" t="n">
        <f aca="false">Rates_data!AE74</f>
        <v>220.6</v>
      </c>
      <c r="H73" s="13" t="n">
        <f aca="false">IF(G73&gt;0,F73/G73,"")</f>
        <v>1.54483227561197</v>
      </c>
      <c r="I73" s="7" t="s">
        <v>161</v>
      </c>
      <c r="J73" s="7"/>
      <c r="K73" s="11" t="n">
        <f aca="false">Rates_data!W74</f>
        <v>340.79</v>
      </c>
      <c r="L73" s="14" t="str">
        <f aca="false">Rates_data!X74</f>
        <v>negotiated</v>
      </c>
    </row>
    <row r="74" customFormat="false" ht="15" hidden="false" customHeight="false" outlineLevel="0" collapsed="false">
      <c r="A74" s="7" t="s">
        <v>91</v>
      </c>
      <c r="B74" s="7" t="s">
        <v>60</v>
      </c>
      <c r="C74" s="7" t="s">
        <v>43</v>
      </c>
      <c r="D74" s="7" t="s">
        <v>94</v>
      </c>
      <c r="E74" s="7" t="s">
        <v>143</v>
      </c>
      <c r="F74" s="11" t="n">
        <f aca="false">Rates_data!P75</f>
        <v>396.97</v>
      </c>
      <c r="G74" s="11" t="n">
        <f aca="false">Rates_data!AE75</f>
        <v>220.6</v>
      </c>
      <c r="H74" s="13" t="n">
        <f aca="false">IF(G74&gt;0,F74/G74,"")</f>
        <v>1.79950135992747</v>
      </c>
      <c r="I74" s="7" t="s">
        <v>161</v>
      </c>
      <c r="J74" s="7"/>
      <c r="K74" s="11" t="n">
        <f aca="false">Rates_data!W75</f>
        <v>396.97</v>
      </c>
      <c r="L74" s="14" t="str">
        <f aca="false">Rates_data!X75</f>
        <v>negotiated</v>
      </c>
    </row>
    <row r="77" customFormat="false" ht="15" hidden="false" customHeight="false" outlineLevel="0" collapsed="false">
      <c r="A77" s="2" t="s">
        <v>171</v>
      </c>
    </row>
    <row r="78" customFormat="false" ht="39.75" hidden="false" customHeight="true" outlineLevel="0" collapsed="false">
      <c r="A78" s="6" t="s">
        <v>23</v>
      </c>
      <c r="B78" s="6" t="s">
        <v>27</v>
      </c>
      <c r="C78" s="6" t="s">
        <v>101</v>
      </c>
      <c r="D78" s="6" t="s">
        <v>102</v>
      </c>
      <c r="E78" s="6" t="s">
        <v>103</v>
      </c>
      <c r="F78" s="6" t="s">
        <v>112</v>
      </c>
      <c r="G78" s="6" t="s">
        <v>172</v>
      </c>
      <c r="H78" s="6" t="s">
        <v>173</v>
      </c>
    </row>
    <row r="79" customFormat="false" ht="15" hidden="false" customHeight="false" outlineLevel="0" collapsed="false">
      <c r="A79" s="14" t="str">
        <f aca="false">IF(Battery!A5="","",Battery!A5)</f>
        <v>Massachusetts General Hospital</v>
      </c>
      <c r="B79" s="14" t="str">
        <f aca="false">IF(Battery!B5="","",Battery!B5)</f>
        <v>Medicare FFS</v>
      </c>
      <c r="C79" s="14" t="str">
        <f aca="false">IF(Battery!C5="","",Battery!C5)</f>
        <v>Medicare</v>
      </c>
      <c r="D79" s="14" t="str">
        <f aca="false">IF(Battery!D5="","",Battery!D5)</f>
        <v/>
      </c>
      <c r="E79" s="14" t="str">
        <f aca="false">IF(Battery!E5="","",Battery!E5)</f>
        <v>Hospital Medicare FFS row, OPPS packaging applied (95923 = 0)</v>
      </c>
      <c r="F79" s="11" t="n">
        <f aca="false">Battery!O5</f>
        <v>512.38</v>
      </c>
      <c r="G79" s="11" t="n">
        <f aca="false">Reference!$D$10</f>
        <v>316.15</v>
      </c>
      <c r="H79" s="15" t="n">
        <f aca="false">F79/G79</f>
        <v>1.62068638304602</v>
      </c>
    </row>
    <row r="80" customFormat="false" ht="15" hidden="false" customHeight="false" outlineLevel="0" collapsed="false">
      <c r="A80" s="14" t="str">
        <f aca="false">IF(Battery!A6="","",Battery!A6)</f>
        <v>Massachusetts General Hospital</v>
      </c>
      <c r="B80" s="14" t="str">
        <f aca="false">IF(Battery!B6="","",Battery!B6)</f>
        <v>Medicare FFS</v>
      </c>
      <c r="C80" s="14" t="str">
        <f aca="false">IF(Battery!C6="","",Battery!C6)</f>
        <v>Medicare</v>
      </c>
      <c r="D80" s="14" t="str">
        <f aca="false">IF(Battery!D6="","",Battery!D6)</f>
        <v/>
      </c>
      <c r="E80" s="14" t="str">
        <f aca="false">IF(Battery!E6="","",Battery!E6)</f>
        <v>Hospital 95924 row + OPPS national 95923 (not listed in file)</v>
      </c>
      <c r="F80" s="11" t="n">
        <f aca="false">Battery!O6</f>
        <v>648.27</v>
      </c>
      <c r="G80" s="11" t="n">
        <f aca="false">Reference!$D$10</f>
        <v>316.15</v>
      </c>
      <c r="H80" s="15" t="n">
        <f aca="false">F80/G80</f>
        <v>2.05051399652064</v>
      </c>
    </row>
    <row r="81" customFormat="false" ht="15" hidden="false" customHeight="false" outlineLevel="0" collapsed="false">
      <c r="A81" s="14" t="str">
        <f aca="false">IF(Battery!A7="","",Battery!A7)</f>
        <v>Massachusetts General Hospital</v>
      </c>
      <c r="B81" s="14" t="str">
        <f aca="false">IF(Battery!B7="","",Battery!B7)</f>
        <v>Medicare FFS</v>
      </c>
      <c r="C81" s="14" t="str">
        <f aca="false">IF(Battery!C7="","",Battery!C7)</f>
        <v>Medicare (reference)</v>
      </c>
      <c r="D81" s="14" t="str">
        <f aca="false">IF(Battery!D7="","",Battery!D7)</f>
        <v/>
      </c>
      <c r="E81" s="14" t="str">
        <f aca="false">IF(Battery!E7="","",Battery!E7)</f>
        <v>OPPS national (Addendum B), packaging applied (95923 = 0)</v>
      </c>
      <c r="F81" s="11" t="n">
        <f aca="false">Battery!O7</f>
        <v>363.17</v>
      </c>
      <c r="G81" s="11" t="n">
        <f aca="false">Reference!$D$10</f>
        <v>316.15</v>
      </c>
      <c r="H81" s="15" t="n">
        <f aca="false">F81/G81</f>
        <v>1.14872687015657</v>
      </c>
    </row>
    <row r="82" customFormat="false" ht="15" hidden="false" customHeight="false" outlineLevel="0" collapsed="false">
      <c r="A82" s="14" t="str">
        <f aca="false">IF(Battery!A8="","",Battery!A8)</f>
        <v>Massachusetts General Hospital</v>
      </c>
      <c r="B82" s="14" t="str">
        <f aca="false">IF(Battery!B8="","",Battery!B8)</f>
        <v>Medicare FFS</v>
      </c>
      <c r="C82" s="14" t="str">
        <f aca="false">IF(Battery!C8="","",Battery!C8)</f>
        <v>Medicare (reference)</v>
      </c>
      <c r="D82" s="14" t="str">
        <f aca="false">IF(Battery!D8="","",Battery!D8)</f>
        <v/>
      </c>
      <c r="E82" s="14" t="str">
        <f aca="false">IF(Battery!E8="","",Battery!E8)</f>
        <v>OPPS national (Addendum B), as listed</v>
      </c>
      <c r="F82" s="11" t="n">
        <f aca="false">Battery!O8</f>
        <v>499.1</v>
      </c>
      <c r="G82" s="11" t="n">
        <f aca="false">Reference!$D$10</f>
        <v>316.15</v>
      </c>
      <c r="H82" s="15" t="n">
        <f aca="false">F82/G82</f>
        <v>1.57868100585165</v>
      </c>
    </row>
    <row r="83" customFormat="false" ht="15" hidden="false" customHeight="false" outlineLevel="0" collapsed="false">
      <c r="A83" s="14" t="str">
        <f aca="false">IF(Battery!A9="","",Battery!A9)</f>
        <v>Massachusetts General Hospital</v>
      </c>
      <c r="B83" s="14" t="str">
        <f aca="false">IF(Battery!B9="","",Battery!B9)</f>
        <v>Commercial</v>
      </c>
      <c r="C83" s="14" t="str">
        <f aca="false">IF(Battery!C9="","",Battery!C9)</f>
        <v>AETNA [1001]</v>
      </c>
      <c r="D83" s="14" t="str">
        <f aca="false">IF(Battery!D9="","",Battery!D9)</f>
        <v>HB AMC AETNA HMO</v>
      </c>
      <c r="E83" s="14" t="str">
        <f aca="false">IF(Battery!E9="","",Battery!E9)</f>
        <v>Hospital file, same payer/plan</v>
      </c>
      <c r="F83" s="11" t="n">
        <f aca="false">Battery!O9</f>
        <v>2800.1</v>
      </c>
      <c r="G83" s="11" t="n">
        <f aca="false">Reference!$D$10</f>
        <v>316.15</v>
      </c>
      <c r="H83" s="15" t="n">
        <f aca="false">F83/G83</f>
        <v>8.856871738099</v>
      </c>
    </row>
    <row r="84" customFormat="false" ht="15" hidden="false" customHeight="false" outlineLevel="0" collapsed="false">
      <c r="A84" s="14" t="str">
        <f aca="false">IF(Battery!A10="","",Battery!A10)</f>
        <v>Massachusetts General Hospital</v>
      </c>
      <c r="B84" s="14" t="str">
        <f aca="false">IF(Battery!B10="","",Battery!B10)</f>
        <v>Commercial</v>
      </c>
      <c r="C84" s="14" t="str">
        <f aca="false">IF(Battery!C10="","",Battery!C10)</f>
        <v>CIGNA ALTERNATE [1018]</v>
      </c>
      <c r="D84" s="14" t="str">
        <f aca="false">IF(Battery!D10="","",Battery!D10)</f>
        <v>HB AMC CIGNA NEW BUSINESS DISCOUNT</v>
      </c>
      <c r="E84" s="14" t="str">
        <f aca="false">IF(Battery!E10="","",Battery!E10)</f>
        <v>Hospital file, same payer/plan</v>
      </c>
      <c r="F84" s="11" t="n">
        <f aca="false">Battery!O10</f>
        <v>1233.41</v>
      </c>
      <c r="G84" s="11" t="n">
        <f aca="false">Reference!$D$10</f>
        <v>316.15</v>
      </c>
      <c r="H84" s="15" t="n">
        <f aca="false">F84/G84</f>
        <v>3.90134429859244</v>
      </c>
    </row>
    <row r="85" customFormat="false" ht="15" hidden="false" customHeight="false" outlineLevel="0" collapsed="false">
      <c r="A85" s="14" t="str">
        <f aca="false">IF(Battery!A11="","",Battery!A11)</f>
        <v>Massachusetts General Hospital</v>
      </c>
      <c r="B85" s="14" t="str">
        <f aca="false">IF(Battery!B11="","",Battery!B11)</f>
        <v>Commercial</v>
      </c>
      <c r="C85" s="14" t="str">
        <f aca="false">IF(Battery!C11="","",Battery!C11)</f>
        <v>CIGNA [1006]</v>
      </c>
      <c r="D85" s="14" t="str">
        <f aca="false">IF(Battery!D11="","",Battery!D11)</f>
        <v>HB AMC CIGNA HMO / PPO</v>
      </c>
      <c r="E85" s="14" t="str">
        <f aca="false">IF(Battery!E11="","",Battery!E11)</f>
        <v>Hospital file, same payer/plan</v>
      </c>
      <c r="F85" s="11" t="n">
        <f aca="false">Battery!O11</f>
        <v>1768.51</v>
      </c>
      <c r="G85" s="11" t="n">
        <f aca="false">Reference!$D$10</f>
        <v>316.15</v>
      </c>
      <c r="H85" s="15" t="n">
        <f aca="false">F85/G85</f>
        <v>5.59389530286257</v>
      </c>
    </row>
    <row r="86" customFormat="false" ht="15" hidden="false" customHeight="false" outlineLevel="0" collapsed="false">
      <c r="A86" s="14" t="str">
        <f aca="false">IF(Battery!A12="","",Battery!A12)</f>
        <v>Massachusetts General Hospital</v>
      </c>
      <c r="B86" s="14" t="str">
        <f aca="false">IF(Battery!B12="","",Battery!B12)</f>
        <v>Commercial</v>
      </c>
      <c r="C86" s="14" t="str">
        <f aca="false">IF(Battery!C12="","",Battery!C12)</f>
        <v>INTERNATIONAL COMMERCIAL [140001]</v>
      </c>
      <c r="D86" s="14" t="str">
        <f aca="false">IF(Battery!D12="","",Battery!D12)</f>
        <v>HB AMC / MEE / PCC / ONE TEAM HEALTH INTERNATIONAL</v>
      </c>
      <c r="E86" s="14" t="str">
        <f aca="false">IF(Battery!E12="","",Battery!E12)</f>
        <v>Hospital file, same payer/plan</v>
      </c>
      <c r="F86" s="11" t="n">
        <f aca="false">Battery!O12</f>
        <v>1485.47</v>
      </c>
      <c r="G86" s="11" t="n">
        <f aca="false">Reference!$D$10</f>
        <v>316.15</v>
      </c>
      <c r="H86" s="15" t="n">
        <f aca="false">F86/G86</f>
        <v>4.69862407085244</v>
      </c>
    </row>
    <row r="87" customFormat="false" ht="15" hidden="false" customHeight="false" outlineLevel="0" collapsed="false">
      <c r="A87" s="14" t="str">
        <f aca="false">IF(Battery!A13="","",Battery!A13)</f>
        <v>Massachusetts General Hospital</v>
      </c>
      <c r="B87" s="14" t="str">
        <f aca="false">IF(Battery!B13="","",Battery!B13)</f>
        <v>Commercial</v>
      </c>
      <c r="C87" s="14" t="str">
        <f aca="false">IF(Battery!C13="","",Battery!C13)</f>
        <v>MGB HEALTH PLAN [150001]</v>
      </c>
      <c r="D87" s="14" t="str">
        <f aca="false">IF(Battery!D13="","",Battery!D13)</f>
        <v>HB AMC MGBHP COMMERCIAL HMO</v>
      </c>
      <c r="E87" s="14" t="str">
        <f aca="false">IF(Battery!E13="","",Battery!E13)</f>
        <v>Hospital file, same payer/plan</v>
      </c>
      <c r="F87" s="11" t="n">
        <f aca="false">Battery!O13</f>
        <v>913.19</v>
      </c>
      <c r="G87" s="11" t="n">
        <f aca="false">Reference!$D$10</f>
        <v>316.15</v>
      </c>
      <c r="H87" s="15" t="n">
        <f aca="false">F87/G87</f>
        <v>2.88847066266013</v>
      </c>
    </row>
    <row r="88" customFormat="false" ht="15" hidden="false" customHeight="false" outlineLevel="0" collapsed="false">
      <c r="A88" s="14" t="str">
        <f aca="false">IF(Battery!A14="","",Battery!A14)</f>
        <v>Massachusetts General Hospital</v>
      </c>
      <c r="B88" s="14" t="str">
        <f aca="false">IF(Battery!B14="","",Battery!B14)</f>
        <v>Commercial</v>
      </c>
      <c r="C88" s="14" t="str">
        <f aca="false">IF(Battery!C14="","",Battery!C14)</f>
        <v>MGB HEALTH PLAN [150001]</v>
      </c>
      <c r="D88" s="14" t="str">
        <f aca="false">IF(Battery!D14="","",Battery!D14)</f>
        <v>HB AMC MGBHP COMMERCIAL PPO</v>
      </c>
      <c r="E88" s="14" t="str">
        <f aca="false">IF(Battery!E14="","",Battery!E14)</f>
        <v>Hospital file, same payer/plan</v>
      </c>
      <c r="F88" s="11" t="n">
        <f aca="false">Battery!O14</f>
        <v>950.37</v>
      </c>
      <c r="G88" s="11" t="n">
        <f aca="false">Reference!$D$10</f>
        <v>316.15</v>
      </c>
      <c r="H88" s="15" t="n">
        <f aca="false">F88/G88</f>
        <v>3.00607306658232</v>
      </c>
    </row>
    <row r="89" customFormat="false" ht="15" hidden="false" customHeight="false" outlineLevel="0" collapsed="false">
      <c r="A89" s="14" t="str">
        <f aca="false">IF(Battery!A15="","",Battery!A15)</f>
        <v>Massachusetts General Hospital</v>
      </c>
      <c r="B89" s="14" t="str">
        <f aca="false">IF(Battery!B15="","",Battery!B15)</f>
        <v>Commercial</v>
      </c>
      <c r="C89" s="14" t="str">
        <f aca="false">IF(Battery!C15="","",Battery!C15)</f>
        <v>UNITED HEALTHCARE [1016]</v>
      </c>
      <c r="D89" s="14" t="str">
        <f aca="false">IF(Battery!D15="","",Battery!D15)</f>
        <v>HB AMC CH UNITED NEW BUSINESS DISCOUNT</v>
      </c>
      <c r="E89" s="14" t="str">
        <f aca="false">IF(Battery!E15="","",Battery!E15)</f>
        <v>Hospital file, same payer/plan</v>
      </c>
      <c r="F89" s="11" t="n">
        <f aca="false">Battery!O15</f>
        <v>1794.13</v>
      </c>
      <c r="G89" s="11" t="n">
        <f aca="false">Reference!$D$10</f>
        <v>316.15</v>
      </c>
      <c r="H89" s="15" t="n">
        <f aca="false">F89/G89</f>
        <v>5.67493278507038</v>
      </c>
    </row>
    <row r="90" customFormat="false" ht="15" hidden="false" customHeight="false" outlineLevel="0" collapsed="false">
      <c r="A90" s="14" t="str">
        <f aca="false">IF(Battery!A16="","",Battery!A16)</f>
        <v>Massachusetts General Hospital</v>
      </c>
      <c r="B90" s="14" t="str">
        <f aca="false">IF(Battery!B16="","",Battery!B16)</f>
        <v>Commercial</v>
      </c>
      <c r="C90" s="14" t="str">
        <f aca="false">IF(Battery!C16="","",Battery!C16)</f>
        <v>UNITED HEALTHCARE [1016]</v>
      </c>
      <c r="D90" s="14" t="str">
        <f aca="false">IF(Battery!D16="","",Battery!D16)</f>
        <v>HB AMC UNITED PPO / POS</v>
      </c>
      <c r="E90" s="14" t="str">
        <f aca="false">IF(Battery!E16="","",Battery!E16)</f>
        <v>Hospital file, same payer/plan</v>
      </c>
      <c r="F90" s="11" t="n">
        <f aca="false">Battery!O16</f>
        <v>1794.13</v>
      </c>
      <c r="G90" s="11" t="n">
        <f aca="false">Reference!$D$10</f>
        <v>316.15</v>
      </c>
      <c r="H90" s="15" t="n">
        <f aca="false">F90/G90</f>
        <v>5.67493278507038</v>
      </c>
    </row>
    <row r="91" customFormat="false" ht="15" hidden="false" customHeight="false" outlineLevel="0" collapsed="false">
      <c r="A91" s="14" t="str">
        <f aca="false">IF(Battery!A17="","",Battery!A17)</f>
        <v>Massachusetts General Hospital</v>
      </c>
      <c r="B91" s="14" t="str">
        <f aca="false">IF(Battery!B17="","",Battery!B17)</f>
        <v>Commercial</v>
      </c>
      <c r="C91" s="14" t="str">
        <f aca="false">IF(Battery!C17="","",Battery!C17)</f>
        <v>WELLPOINT [1015]</v>
      </c>
      <c r="D91" s="14" t="str">
        <f aca="false">IF(Battery!D17="","",Battery!D17)</f>
        <v>HB AMC WELLPOINT</v>
      </c>
      <c r="E91" s="14" t="str">
        <f aca="false">IF(Battery!E17="","",Battery!E17)</f>
        <v>Hospital file, same payer/plan</v>
      </c>
      <c r="F91" s="11" t="n">
        <f aca="false">Battery!O17</f>
        <v>1680.71</v>
      </c>
      <c r="G91" s="11" t="n">
        <f aca="false">Reference!$D$10</f>
        <v>316.15</v>
      </c>
      <c r="H91" s="15" t="n">
        <f aca="false">F91/G91</f>
        <v>5.31617902894196</v>
      </c>
    </row>
    <row r="92" customFormat="false" ht="15" hidden="false" customHeight="false" outlineLevel="0" collapsed="false">
      <c r="A92" s="14" t="str">
        <f aca="false">IF(Battery!A18="","",Battery!A18)</f>
        <v>Brigham and Women's Faulkner Hospital</v>
      </c>
      <c r="B92" s="14" t="str">
        <f aca="false">IF(Battery!B18="","",Battery!B18)</f>
        <v>Medicare FFS</v>
      </c>
      <c r="C92" s="14" t="str">
        <f aca="false">IF(Battery!C18="","",Battery!C18)</f>
        <v>Medicare</v>
      </c>
      <c r="D92" s="14" t="str">
        <f aca="false">IF(Battery!D18="","",Battery!D18)</f>
        <v/>
      </c>
      <c r="E92" s="14" t="str">
        <f aca="false">IF(Battery!E18="","",Battery!E18)</f>
        <v>Hospital Medicare FFS row, OPPS packaging applied (95923 = 0)</v>
      </c>
      <c r="F92" s="11" t="n">
        <f aca="false">Battery!O18</f>
        <v>512.38</v>
      </c>
      <c r="G92" s="11" t="n">
        <f aca="false">Reference!$D$10</f>
        <v>316.15</v>
      </c>
      <c r="H92" s="15" t="n">
        <f aca="false">F92/G92</f>
        <v>1.62068638304602</v>
      </c>
    </row>
    <row r="93" customFormat="false" ht="15" hidden="false" customHeight="false" outlineLevel="0" collapsed="false">
      <c r="A93" s="14" t="str">
        <f aca="false">IF(Battery!A19="","",Battery!A19)</f>
        <v>Brigham and Women's Faulkner Hospital</v>
      </c>
      <c r="B93" s="14" t="str">
        <f aca="false">IF(Battery!B19="","",Battery!B19)</f>
        <v>Medicare FFS</v>
      </c>
      <c r="C93" s="14" t="str">
        <f aca="false">IF(Battery!C19="","",Battery!C19)</f>
        <v>Medicare</v>
      </c>
      <c r="D93" s="14" t="str">
        <f aca="false">IF(Battery!D19="","",Battery!D19)</f>
        <v/>
      </c>
      <c r="E93" s="14" t="str">
        <f aca="false">IF(Battery!E19="","",Battery!E19)</f>
        <v>Hospital Medicare FFS rows, as listed (no packaging)</v>
      </c>
      <c r="F93" s="11" t="n">
        <f aca="false">Battery!O19</f>
        <v>818.54</v>
      </c>
      <c r="G93" s="11" t="n">
        <f aca="false">Reference!$D$10</f>
        <v>316.15</v>
      </c>
      <c r="H93" s="15" t="n">
        <f aca="false">F93/G93</f>
        <v>2.5890874584849</v>
      </c>
    </row>
    <row r="94" customFormat="false" ht="15" hidden="false" customHeight="false" outlineLevel="0" collapsed="false">
      <c r="A94" s="14" t="str">
        <f aca="false">IF(Battery!A20="","",Battery!A20)</f>
        <v>Brigham and Women's Faulkner Hospital</v>
      </c>
      <c r="B94" s="14" t="str">
        <f aca="false">IF(Battery!B20="","",Battery!B20)</f>
        <v>Medicare FFS</v>
      </c>
      <c r="C94" s="14" t="str">
        <f aca="false">IF(Battery!C20="","",Battery!C20)</f>
        <v>Medicare (reference)</v>
      </c>
      <c r="D94" s="14" t="str">
        <f aca="false">IF(Battery!D20="","",Battery!D20)</f>
        <v/>
      </c>
      <c r="E94" s="14" t="str">
        <f aca="false">IF(Battery!E20="","",Battery!E20)</f>
        <v>OPPS national (Addendum B), packaging applied (95923 = 0)</v>
      </c>
      <c r="F94" s="11" t="n">
        <f aca="false">Battery!O20</f>
        <v>363.17</v>
      </c>
      <c r="G94" s="11" t="n">
        <f aca="false">Reference!$D$10</f>
        <v>316.15</v>
      </c>
      <c r="H94" s="15" t="n">
        <f aca="false">F94/G94</f>
        <v>1.14872687015657</v>
      </c>
    </row>
    <row r="95" customFormat="false" ht="15" hidden="false" customHeight="false" outlineLevel="0" collapsed="false">
      <c r="A95" s="14" t="str">
        <f aca="false">IF(Battery!A21="","",Battery!A21)</f>
        <v>Brigham and Women's Faulkner Hospital</v>
      </c>
      <c r="B95" s="14" t="str">
        <f aca="false">IF(Battery!B21="","",Battery!B21)</f>
        <v>Medicare FFS</v>
      </c>
      <c r="C95" s="14" t="str">
        <f aca="false">IF(Battery!C21="","",Battery!C21)</f>
        <v>Medicare (reference)</v>
      </c>
      <c r="D95" s="14" t="str">
        <f aca="false">IF(Battery!D21="","",Battery!D21)</f>
        <v/>
      </c>
      <c r="E95" s="14" t="str">
        <f aca="false">IF(Battery!E21="","",Battery!E21)</f>
        <v>OPPS national (Addendum B), as listed</v>
      </c>
      <c r="F95" s="11" t="n">
        <f aca="false">Battery!O21</f>
        <v>499.1</v>
      </c>
      <c r="G95" s="11" t="n">
        <f aca="false">Reference!$D$10</f>
        <v>316.15</v>
      </c>
      <c r="H95" s="15" t="n">
        <f aca="false">F95/G95</f>
        <v>1.57868100585165</v>
      </c>
    </row>
    <row r="96" customFormat="false" ht="15" hidden="false" customHeight="false" outlineLevel="0" collapsed="false">
      <c r="A96" s="14" t="str">
        <f aca="false">IF(Battery!A22="","",Battery!A22)</f>
        <v>Brigham and Women's Faulkner Hospital</v>
      </c>
      <c r="B96" s="14" t="str">
        <f aca="false">IF(Battery!B22="","",Battery!B22)</f>
        <v>Commercial</v>
      </c>
      <c r="C96" s="14" t="str">
        <f aca="false">IF(Battery!C22="","",Battery!C22)</f>
        <v>CIGNA [1006]</v>
      </c>
      <c r="D96" s="14" t="str">
        <f aca="false">IF(Battery!D22="","",Battery!D22)</f>
        <v>HB CH CIGNA HMO / PPO</v>
      </c>
      <c r="E96" s="14" t="str">
        <f aca="false">IF(Battery!E22="","",Battery!E22)</f>
        <v>Hospital file, same payer/plan</v>
      </c>
      <c r="F96" s="11" t="n">
        <f aca="false">Battery!O22</f>
        <v>1000.47</v>
      </c>
      <c r="G96" s="11" t="n">
        <f aca="false">Reference!$D$10</f>
        <v>316.15</v>
      </c>
      <c r="H96" s="15" t="n">
        <f aca="false">F96/G96</f>
        <v>3.16454214771469</v>
      </c>
    </row>
    <row r="97" customFormat="false" ht="15" hidden="false" customHeight="false" outlineLevel="0" collapsed="false">
      <c r="A97" s="14" t="str">
        <f aca="false">IF(Battery!A23="","",Battery!A23)</f>
        <v>Brigham and Women's Faulkner Hospital</v>
      </c>
      <c r="B97" s="14" t="str">
        <f aca="false">IF(Battery!B23="","",Battery!B23)</f>
        <v>Commercial</v>
      </c>
      <c r="C97" s="14" t="str">
        <f aca="false">IF(Battery!C23="","",Battery!C23)</f>
        <v>HEALTH NEW ENGLAND [1034]</v>
      </c>
      <c r="D97" s="14" t="str">
        <f aca="false">IF(Battery!D23="","",Battery!D23)</f>
        <v>HB CH CLARITEV (PRIMARY PPO)</v>
      </c>
      <c r="E97" s="14" t="str">
        <f aca="false">IF(Battery!E23="","",Battery!E23)</f>
        <v>Hospital file, same payer/plan</v>
      </c>
      <c r="F97" s="11" t="n">
        <f aca="false">Battery!O23</f>
        <v>1211.29</v>
      </c>
      <c r="G97" s="11" t="n">
        <f aca="false">Reference!$D$10</f>
        <v>316.15</v>
      </c>
      <c r="H97" s="15" t="n">
        <f aca="false">F97/G97</f>
        <v>3.83137751067531</v>
      </c>
    </row>
    <row r="98" customFormat="false" ht="15" hidden="false" customHeight="false" outlineLevel="0" collapsed="false">
      <c r="A98" s="14" t="str">
        <f aca="false">IF(Battery!A24="","",Battery!A24)</f>
        <v>Brigham and Women's Faulkner Hospital</v>
      </c>
      <c r="B98" s="14" t="str">
        <f aca="false">IF(Battery!B24="","",Battery!B24)</f>
        <v>Commercial</v>
      </c>
      <c r="C98" s="14" t="str">
        <f aca="false">IF(Battery!C24="","",Battery!C24)</f>
        <v>UNITED HEALTHCARE [1016]</v>
      </c>
      <c r="D98" s="14" t="str">
        <f aca="false">IF(Battery!D24="","",Battery!D24)</f>
        <v>HB AMC CH UNITED NEW BUSINESS DISCOUNT</v>
      </c>
      <c r="E98" s="14" t="str">
        <f aca="false">IF(Battery!E24="","",Battery!E24)</f>
        <v>Hospital file, same payer/plan</v>
      </c>
      <c r="F98" s="11" t="n">
        <f aca="false">Battery!O24</f>
        <v>809.57</v>
      </c>
      <c r="G98" s="11" t="n">
        <f aca="false">Reference!$D$10</f>
        <v>316.15</v>
      </c>
      <c r="H98" s="15" t="n">
        <f aca="false">F98/G98</f>
        <v>2.56071485054563</v>
      </c>
    </row>
    <row r="99" customFormat="false" ht="15" hidden="false" customHeight="false" outlineLevel="0" collapsed="false">
      <c r="A99" s="14" t="str">
        <f aca="false">IF(Battery!A25="","",Battery!A25)</f>
        <v>Brigham and Women's Faulkner Hospital</v>
      </c>
      <c r="B99" s="14" t="str">
        <f aca="false">IF(Battery!B25="","",Battery!B25)</f>
        <v>Commercial</v>
      </c>
      <c r="C99" s="14" t="str">
        <f aca="false">IF(Battery!C25="","",Battery!C25)</f>
        <v>UNITED HEALTHCARE [1016]</v>
      </c>
      <c r="D99" s="14" t="str">
        <f aca="false">IF(Battery!D25="","",Battery!D25)</f>
        <v>HB CH UNITED HMO / PPO / INDEMNITY</v>
      </c>
      <c r="E99" s="14" t="str">
        <f aca="false">IF(Battery!E25="","",Battery!E25)</f>
        <v>Hospital file, same payer/plan</v>
      </c>
      <c r="F99" s="11" t="n">
        <f aca="false">Battery!O25</f>
        <v>1268.1</v>
      </c>
      <c r="G99" s="11" t="n">
        <f aca="false">Reference!$D$10</f>
        <v>316.15</v>
      </c>
      <c r="H99" s="15" t="n">
        <f aca="false">F99/G99</f>
        <v>4.01107069429069</v>
      </c>
    </row>
    <row r="100" customFormat="false" ht="15" hidden="false" customHeight="false" outlineLevel="0" collapsed="false">
      <c r="A100" s="14" t="str">
        <f aca="false">IF(Battery!A26="","",Battery!A26)</f>
        <v>Brigham and Women's Faulkner Hospital</v>
      </c>
      <c r="B100" s="14" t="str">
        <f aca="false">IF(Battery!B26="","",Battery!B26)</f>
        <v>Commercial</v>
      </c>
      <c r="C100" s="14" t="str">
        <f aca="false">IF(Battery!C26="","",Battery!C26)</f>
        <v>WELLPOINT [1015]</v>
      </c>
      <c r="D100" s="14" t="str">
        <f aca="false">IF(Battery!D26="","",Battery!D26)</f>
        <v>HB CH WELLPOINT</v>
      </c>
      <c r="E100" s="14" t="str">
        <f aca="false">IF(Battery!E26="","",Battery!E26)</f>
        <v>Hospital file, same payer/plan</v>
      </c>
      <c r="F100" s="11" t="n">
        <f aca="false">Battery!O26</f>
        <v>1606.57</v>
      </c>
      <c r="G100" s="11" t="n">
        <f aca="false">Reference!$D$10</f>
        <v>316.15</v>
      </c>
      <c r="H100" s="15" t="n">
        <f aca="false">F100/G100</f>
        <v>5.08167009331014</v>
      </c>
    </row>
    <row r="101" customFormat="false" ht="15" hidden="false" customHeight="false" outlineLevel="0" collapsed="false">
      <c r="A101" s="14" t="str">
        <f aca="false">IF(Battery!A27="","",Battery!A27)</f>
        <v>Brigham and Women's Faulkner Hospital</v>
      </c>
      <c r="B101" s="14" t="str">
        <f aca="false">IF(Battery!B27="","",Battery!B27)</f>
        <v>Medicare Advantage</v>
      </c>
      <c r="C101" s="14" t="str">
        <f aca="false">IF(Battery!C27="","",Battery!C27)</f>
        <v>BLUE CROSS BLUE SHIELD [110001]</v>
      </c>
      <c r="D101" s="14" t="str">
        <f aca="false">IF(Battery!D27="","",Battery!D27)</f>
        <v>HB BWF MEDICARE</v>
      </c>
      <c r="E101" s="14" t="str">
        <f aca="false">IF(Battery!E27="","",Battery!E27)</f>
        <v>Hospital file, same payer/plan</v>
      </c>
      <c r="F101" s="11" t="n">
        <f aca="false">Battery!O27</f>
        <v>677.47</v>
      </c>
      <c r="G101" s="11" t="n">
        <f aca="false">Reference!$D$10</f>
        <v>316.15</v>
      </c>
      <c r="H101" s="15" t="n">
        <f aca="false">F101/G101</f>
        <v>2.14287521746007</v>
      </c>
    </row>
    <row r="102" customFormat="false" ht="15" hidden="false" customHeight="false" outlineLevel="0" collapsed="false">
      <c r="A102" s="14" t="str">
        <f aca="false">IF(Battery!A28="","",Battery!A28)</f>
        <v>Brigham and Women's Faulkner Hospital</v>
      </c>
      <c r="B102" s="14" t="str">
        <f aca="false">IF(Battery!B28="","",Battery!B28)</f>
        <v>Medicare Advantage</v>
      </c>
      <c r="C102" s="14" t="str">
        <f aca="false">IF(Battery!C28="","",Battery!C28)</f>
        <v>CENTERS OF EXCELLENCE [1026]</v>
      </c>
      <c r="D102" s="14" t="str">
        <f aca="false">IF(Battery!D28="","",Battery!D28)</f>
        <v>HB BWF MEDICARE</v>
      </c>
      <c r="E102" s="14" t="str">
        <f aca="false">IF(Battery!E28="","",Battery!E28)</f>
        <v>Hospital file, same payer/plan</v>
      </c>
      <c r="F102" s="11" t="n">
        <f aca="false">Battery!O28</f>
        <v>677.47</v>
      </c>
      <c r="G102" s="11" t="n">
        <f aca="false">Reference!$D$10</f>
        <v>316.15</v>
      </c>
      <c r="H102" s="15" t="n">
        <f aca="false">F102/G102</f>
        <v>2.14287521746007</v>
      </c>
    </row>
    <row r="103" customFormat="false" ht="15" hidden="false" customHeight="false" outlineLevel="0" collapsed="false">
      <c r="A103" s="14" t="str">
        <f aca="false">IF(Battery!A29="","",Battery!A29)</f>
        <v>Beth Israel Deaconess Medical Center</v>
      </c>
      <c r="B103" s="14" t="str">
        <f aca="false">IF(Battery!B29="","",Battery!B29)</f>
        <v>Medicare FFS</v>
      </c>
      <c r="C103" s="14" t="str">
        <f aca="false">IF(Battery!C29="","",Battery!C29)</f>
        <v>Medicare (reference)</v>
      </c>
      <c r="D103" s="14" t="str">
        <f aca="false">IF(Battery!D29="","",Battery!D29)</f>
        <v/>
      </c>
      <c r="E103" s="14" t="str">
        <f aca="false">IF(Battery!E29="","",Battery!E29)</f>
        <v>OPPS national (Addendum B), packaging applied (95923 = 0)</v>
      </c>
      <c r="F103" s="11" t="n">
        <f aca="false">Battery!O29</f>
        <v>363.17</v>
      </c>
      <c r="G103" s="11" t="n">
        <f aca="false">Reference!$D$10</f>
        <v>316.15</v>
      </c>
      <c r="H103" s="15" t="n">
        <f aca="false">F103/G103</f>
        <v>1.14872687015657</v>
      </c>
    </row>
    <row r="104" customFormat="false" ht="15" hidden="false" customHeight="false" outlineLevel="0" collapsed="false">
      <c r="A104" s="14" t="str">
        <f aca="false">IF(Battery!A30="","",Battery!A30)</f>
        <v>Beth Israel Deaconess Medical Center</v>
      </c>
      <c r="B104" s="14" t="str">
        <f aca="false">IF(Battery!B30="","",Battery!B30)</f>
        <v>Medicare FFS</v>
      </c>
      <c r="C104" s="14" t="str">
        <f aca="false">IF(Battery!C30="","",Battery!C30)</f>
        <v>Medicare (reference)</v>
      </c>
      <c r="D104" s="14" t="str">
        <f aca="false">IF(Battery!D30="","",Battery!D30)</f>
        <v/>
      </c>
      <c r="E104" s="14" t="str">
        <f aca="false">IF(Battery!E30="","",Battery!E30)</f>
        <v>OPPS national (Addendum B), as listed</v>
      </c>
      <c r="F104" s="11" t="n">
        <f aca="false">Battery!O30</f>
        <v>499.1</v>
      </c>
      <c r="G104" s="11" t="n">
        <f aca="false">Reference!$D$10</f>
        <v>316.15</v>
      </c>
      <c r="H104" s="15" t="n">
        <f aca="false">F104/G104</f>
        <v>1.57868100585165</v>
      </c>
    </row>
    <row r="105" customFormat="false" ht="15" hidden="false" customHeight="false" outlineLevel="0" collapsed="false">
      <c r="A105" s="14" t="str">
        <f aca="false">IF(Battery!A31="","",Battery!A31)</f>
        <v>Beth Israel Deaconess Medical Center</v>
      </c>
      <c r="B105" s="14" t="str">
        <f aca="false">IF(Battery!B31="","",Battery!B31)</f>
        <v>Commercial</v>
      </c>
      <c r="C105" s="14" t="str">
        <f aca="false">IF(Battery!C31="","",Battery!C31)</f>
        <v>BCBS</v>
      </c>
      <c r="D105" s="14" t="str">
        <f aca="false">IF(Battery!D31="","",Battery!D31)</f>
        <v>HMO</v>
      </c>
      <c r="E105" s="14" t="str">
        <f aca="false">IF(Battery!E31="","",Battery!E31)</f>
        <v>Hospital file, same payer/plan</v>
      </c>
      <c r="F105" s="11" t="n">
        <f aca="false">Battery!O31</f>
        <v>723.67</v>
      </c>
      <c r="G105" s="11" t="n">
        <f aca="false">Reference!$D$10</f>
        <v>316.15</v>
      </c>
      <c r="H105" s="15" t="n">
        <f aca="false">F105/G105</f>
        <v>2.28900838209711</v>
      </c>
    </row>
    <row r="106" customFormat="false" ht="15" hidden="false" customHeight="false" outlineLevel="0" collapsed="false">
      <c r="A106" s="14" t="str">
        <f aca="false">IF(Battery!A32="","",Battery!A32)</f>
        <v>Beth Israel Deaconess Medical Center</v>
      </c>
      <c r="B106" s="14" t="str">
        <f aca="false">IF(Battery!B32="","",Battery!B32)</f>
        <v>Commercial</v>
      </c>
      <c r="C106" s="14" t="str">
        <f aca="false">IF(Battery!C32="","",Battery!C32)</f>
        <v>BCBS</v>
      </c>
      <c r="D106" s="14" t="str">
        <f aca="false">IF(Battery!D32="","",Battery!D32)</f>
        <v>PPO</v>
      </c>
      <c r="E106" s="14" t="str">
        <f aca="false">IF(Battery!E32="","",Battery!E32)</f>
        <v>Hospital file, same payer/plan</v>
      </c>
      <c r="F106" s="11" t="n">
        <f aca="false">Battery!O32</f>
        <v>750.28</v>
      </c>
      <c r="G106" s="11" t="n">
        <f aca="false">Reference!$D$10</f>
        <v>316.15</v>
      </c>
      <c r="H106" s="15" t="n">
        <f aca="false">F106/G106</f>
        <v>2.37317728926143</v>
      </c>
    </row>
    <row r="107" customFormat="false" ht="15" hidden="false" customHeight="false" outlineLevel="0" collapsed="false">
      <c r="A107" s="14" t="str">
        <f aca="false">IF(Battery!A33="","",Battery!A33)</f>
        <v>Beth Israel Deaconess Medical Center</v>
      </c>
      <c r="B107" s="14" t="str">
        <f aca="false">IF(Battery!B33="","",Battery!B33)</f>
        <v>Commercial</v>
      </c>
      <c r="C107" s="14" t="str">
        <f aca="false">IF(Battery!C33="","",Battery!C33)</f>
        <v>Harvard Pilgrim Healthcare</v>
      </c>
      <c r="D107" s="14" t="str">
        <f aca="false">IF(Battery!D33="","",Battery!D33)</f>
        <v>Self Insured Non LCU All Commercial Plans</v>
      </c>
      <c r="E107" s="14" t="str">
        <f aca="false">IF(Battery!E33="","",Battery!E33)</f>
        <v>Hospital file, same payer/plan</v>
      </c>
      <c r="F107" s="11" t="n">
        <f aca="false">Battery!O33</f>
        <v>850.46</v>
      </c>
      <c r="G107" s="11" t="n">
        <f aca="false">Reference!$D$10</f>
        <v>316.15</v>
      </c>
      <c r="H107" s="15" t="n">
        <f aca="false">F107/G107</f>
        <v>2.69005219041594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1" style="0" width="30"/>
    <col collapsed="false" customWidth="true" hidden="false" outlineLevel="0" max="3" min="3" style="0" width="8"/>
    <col collapsed="false" customWidth="true" hidden="false" outlineLevel="0" max="4" min="4" style="0" width="20"/>
    <col collapsed="false" customWidth="true" hidden="false" outlineLevel="0" max="5" min="5" style="0" width="30"/>
    <col collapsed="false" customWidth="true" hidden="false" outlineLevel="0" max="6" min="6" style="0" width="34"/>
    <col collapsed="false" customWidth="true" hidden="false" outlineLevel="0" max="7" min="7" style="0" width="11"/>
    <col collapsed="false" customWidth="true" hidden="false" outlineLevel="0" max="8" min="8" style="0" width="24"/>
  </cols>
  <sheetData>
    <row r="1" customFormat="false" ht="16.15" hidden="false" customHeight="false" outlineLevel="0" collapsed="false">
      <c r="A1" s="1" t="s">
        <v>174</v>
      </c>
    </row>
    <row r="2" customFormat="false" ht="15" hidden="false" customHeight="false" outlineLevel="0" collapsed="false">
      <c r="A2" s="5" t="s">
        <v>175</v>
      </c>
    </row>
    <row r="4" customFormat="false" ht="39.75" hidden="false" customHeight="true" outlineLevel="0" collapsed="false">
      <c r="A4" s="6" t="s">
        <v>176</v>
      </c>
      <c r="B4" s="6" t="s">
        <v>23</v>
      </c>
      <c r="C4" s="6" t="s">
        <v>24</v>
      </c>
      <c r="D4" s="6" t="s">
        <v>27</v>
      </c>
      <c r="E4" s="6" t="s">
        <v>101</v>
      </c>
      <c r="F4" s="6" t="s">
        <v>102</v>
      </c>
      <c r="G4" s="6" t="s">
        <v>177</v>
      </c>
      <c r="H4" s="6" t="s">
        <v>178</v>
      </c>
      <c r="I4" s="6" t="s">
        <v>179</v>
      </c>
      <c r="J4" s="6" t="s">
        <v>180</v>
      </c>
      <c r="K4" s="6" t="s">
        <v>181</v>
      </c>
      <c r="L4" s="6" t="s">
        <v>182</v>
      </c>
      <c r="M4" s="6" t="s">
        <v>183</v>
      </c>
      <c r="N4" s="6" t="s">
        <v>184</v>
      </c>
      <c r="O4" s="6" t="s">
        <v>37</v>
      </c>
      <c r="P4" s="6" t="s">
        <v>38</v>
      </c>
      <c r="Q4" s="6" t="s">
        <v>185</v>
      </c>
      <c r="R4" s="6" t="s">
        <v>186</v>
      </c>
    </row>
    <row r="5" customFormat="false" ht="15" hidden="false" customHeight="false" outlineLevel="0" collapsed="false">
      <c r="A5" s="2" t="s">
        <v>187</v>
      </c>
      <c r="B5" s="7" t="s">
        <v>91</v>
      </c>
      <c r="C5" s="7" t="s">
        <v>92</v>
      </c>
      <c r="D5" s="7" t="s">
        <v>43</v>
      </c>
      <c r="E5" s="7" t="s">
        <v>93</v>
      </c>
      <c r="F5" s="7" t="s">
        <v>141</v>
      </c>
      <c r="G5" s="7" t="s">
        <v>188</v>
      </c>
      <c r="H5" s="7" t="s">
        <v>189</v>
      </c>
      <c r="I5" s="11" t="n">
        <f aca="false">IF(Rates_data!P56="","",Rates_data!P56)</f>
        <v>1091.24</v>
      </c>
      <c r="J5" s="14" t="str">
        <f aca="false">IF(Rates_data!O56="","",Rates_data!O56)</f>
        <v/>
      </c>
      <c r="K5" s="11" t="str">
        <f aca="false">IF(Rates_data!S56="","",Rates_data!S56)</f>
        <v/>
      </c>
      <c r="L5" s="11" t="str">
        <f aca="false">IF(Rates_data!T56="","",Rates_data!T56)</f>
        <v/>
      </c>
      <c r="M5" s="11" t="str">
        <f aca="false">IF(Rates_data!U56="","",Rates_data!U56)</f>
        <v/>
      </c>
      <c r="N5" s="14" t="str">
        <f aca="false">IF(Rates_data!V56="","",Rates_data!V56)</f>
        <v/>
      </c>
      <c r="O5" s="11" t="n">
        <f aca="false">IF(Rates_data!W56="","",Rates_data!W56)</f>
        <v>1091.24</v>
      </c>
      <c r="P5" s="14" t="str">
        <f aca="false">IF(Rates_data!X56="","",Rates_data!X56)</f>
        <v>negotiated</v>
      </c>
      <c r="Q5" s="11" t="n">
        <f aca="false">IF(Rates_data!AA56="","",Rates_data!AA56)</f>
        <v>381.24</v>
      </c>
      <c r="R5" s="16" t="n">
        <f aca="false">IF(Rates_data!AC56="","",Rates_data!AC56)</f>
        <v>2.8623439303326</v>
      </c>
    </row>
    <row r="6" customFormat="false" ht="15" hidden="false" customHeight="false" outlineLevel="0" collapsed="false">
      <c r="A6" s="2" t="s">
        <v>187</v>
      </c>
      <c r="B6" s="7" t="s">
        <v>91</v>
      </c>
      <c r="C6" s="7" t="s">
        <v>92</v>
      </c>
      <c r="D6" s="7" t="s">
        <v>43</v>
      </c>
      <c r="E6" s="7" t="s">
        <v>93</v>
      </c>
      <c r="F6" s="7" t="s">
        <v>142</v>
      </c>
      <c r="G6" s="7" t="s">
        <v>188</v>
      </c>
      <c r="H6" s="7" t="s">
        <v>189</v>
      </c>
      <c r="I6" s="11" t="n">
        <f aca="false">IF(Rates_data!P57="","",Rates_data!P57)</f>
        <v>1141.22</v>
      </c>
      <c r="J6" s="14" t="str">
        <f aca="false">IF(Rates_data!O57="","",Rates_data!O57)</f>
        <v/>
      </c>
      <c r="K6" s="11" t="str">
        <f aca="false">IF(Rates_data!S57="","",Rates_data!S57)</f>
        <v/>
      </c>
      <c r="L6" s="11" t="str">
        <f aca="false">IF(Rates_data!T57="","",Rates_data!T57)</f>
        <v/>
      </c>
      <c r="M6" s="11" t="str">
        <f aca="false">IF(Rates_data!U57="","",Rates_data!U57)</f>
        <v/>
      </c>
      <c r="N6" s="14" t="str">
        <f aca="false">IF(Rates_data!V57="","",Rates_data!V57)</f>
        <v/>
      </c>
      <c r="O6" s="11" t="n">
        <f aca="false">IF(Rates_data!W57="","",Rates_data!W57)</f>
        <v>1141.22</v>
      </c>
      <c r="P6" s="14" t="str">
        <f aca="false">IF(Rates_data!X57="","",Rates_data!X57)</f>
        <v>negotiated</v>
      </c>
      <c r="Q6" s="11" t="n">
        <f aca="false">IF(Rates_data!AA57="","",Rates_data!AA57)</f>
        <v>381.24</v>
      </c>
      <c r="R6" s="16" t="n">
        <f aca="false">IF(Rates_data!AC57="","",Rates_data!AC57)</f>
        <v>2.99344245094953</v>
      </c>
    </row>
    <row r="7" customFormat="false" ht="15" hidden="false" customHeight="false" outlineLevel="0" collapsed="false">
      <c r="A7" s="2" t="s">
        <v>187</v>
      </c>
      <c r="B7" s="7" t="s">
        <v>91</v>
      </c>
      <c r="C7" s="7" t="s">
        <v>40</v>
      </c>
      <c r="D7" s="7" t="s">
        <v>43</v>
      </c>
      <c r="E7" s="7" t="s">
        <v>93</v>
      </c>
      <c r="F7" s="7" t="s">
        <v>141</v>
      </c>
      <c r="G7" s="7" t="s">
        <v>188</v>
      </c>
      <c r="H7" s="7" t="s">
        <v>189</v>
      </c>
      <c r="I7" s="11" t="n">
        <f aca="false">IF(Rates_data!P61="","",Rates_data!P61)</f>
        <v>325.87</v>
      </c>
      <c r="J7" s="14" t="str">
        <f aca="false">IF(Rates_data!O61="","",Rates_data!O61)</f>
        <v/>
      </c>
      <c r="K7" s="11" t="str">
        <f aca="false">IF(Rates_data!S61="","",Rates_data!S61)</f>
        <v/>
      </c>
      <c r="L7" s="11" t="str">
        <f aca="false">IF(Rates_data!T61="","",Rates_data!T61)</f>
        <v/>
      </c>
      <c r="M7" s="11" t="str">
        <f aca="false">IF(Rates_data!U61="","",Rates_data!U61)</f>
        <v/>
      </c>
      <c r="N7" s="14" t="str">
        <f aca="false">IF(Rates_data!V61="","",Rates_data!V61)</f>
        <v/>
      </c>
      <c r="O7" s="11" t="n">
        <f aca="false">IF(Rates_data!W61="","",Rates_data!W61)</f>
        <v>325.87</v>
      </c>
      <c r="P7" s="14" t="str">
        <f aca="false">IF(Rates_data!X61="","",Rates_data!X61)</f>
        <v>negotiated</v>
      </c>
      <c r="Q7" s="11" t="n">
        <f aca="false">IF(Rates_data!AA61="","",Rates_data!AA61)</f>
        <v>131.46</v>
      </c>
      <c r="R7" s="16" t="n">
        <f aca="false">IF(Rates_data!AC61="","",Rates_data!AC61)</f>
        <v>2.47885288300624</v>
      </c>
    </row>
    <row r="8" customFormat="false" ht="15" hidden="false" customHeight="false" outlineLevel="0" collapsed="false">
      <c r="A8" s="2" t="s">
        <v>187</v>
      </c>
      <c r="B8" s="7" t="s">
        <v>91</v>
      </c>
      <c r="C8" s="7" t="s">
        <v>40</v>
      </c>
      <c r="D8" s="7" t="s">
        <v>43</v>
      </c>
      <c r="E8" s="7" t="s">
        <v>93</v>
      </c>
      <c r="F8" s="7" t="s">
        <v>142</v>
      </c>
      <c r="G8" s="7" t="s">
        <v>188</v>
      </c>
      <c r="H8" s="7" t="s">
        <v>189</v>
      </c>
      <c r="I8" s="11" t="n">
        <f aca="false">IF(Rates_data!P62="","",Rates_data!P62)</f>
        <v>340.79</v>
      </c>
      <c r="J8" s="14" t="str">
        <f aca="false">IF(Rates_data!O62="","",Rates_data!O62)</f>
        <v/>
      </c>
      <c r="K8" s="11" t="str">
        <f aca="false">IF(Rates_data!S62="","",Rates_data!S62)</f>
        <v/>
      </c>
      <c r="L8" s="11" t="str">
        <f aca="false">IF(Rates_data!T62="","",Rates_data!T62)</f>
        <v/>
      </c>
      <c r="M8" s="11" t="str">
        <f aca="false">IF(Rates_data!U62="","",Rates_data!U62)</f>
        <v/>
      </c>
      <c r="N8" s="14" t="str">
        <f aca="false">IF(Rates_data!V62="","",Rates_data!V62)</f>
        <v/>
      </c>
      <c r="O8" s="11" t="n">
        <f aca="false">IF(Rates_data!W62="","",Rates_data!W62)</f>
        <v>340.79</v>
      </c>
      <c r="P8" s="14" t="str">
        <f aca="false">IF(Rates_data!X62="","",Rates_data!X62)</f>
        <v>negotiated</v>
      </c>
      <c r="Q8" s="11" t="n">
        <f aca="false">IF(Rates_data!AA62="","",Rates_data!AA62)</f>
        <v>131.46</v>
      </c>
      <c r="R8" s="16" t="n">
        <f aca="false">IF(Rates_data!AC62="","",Rates_data!AC62)</f>
        <v>2.59234748212384</v>
      </c>
    </row>
    <row r="9" customFormat="false" ht="15" hidden="false" customHeight="false" outlineLevel="0" collapsed="false">
      <c r="A9" s="2" t="s">
        <v>187</v>
      </c>
      <c r="B9" s="7" t="s">
        <v>91</v>
      </c>
      <c r="C9" s="7" t="s">
        <v>98</v>
      </c>
      <c r="D9" s="7" t="s">
        <v>43</v>
      </c>
      <c r="E9" s="7" t="s">
        <v>93</v>
      </c>
      <c r="F9" s="7" t="s">
        <v>141</v>
      </c>
      <c r="G9" s="7" t="s">
        <v>188</v>
      </c>
      <c r="H9" s="7" t="s">
        <v>189</v>
      </c>
      <c r="I9" s="11" t="n">
        <f aca="false">IF(Rates_data!P65="","",Rates_data!P65)</f>
        <v>255.23</v>
      </c>
      <c r="J9" s="14" t="str">
        <f aca="false">IF(Rates_data!O65="","",Rates_data!O65)</f>
        <v/>
      </c>
      <c r="K9" s="11" t="str">
        <f aca="false">IF(Rates_data!S65="","",Rates_data!S65)</f>
        <v/>
      </c>
      <c r="L9" s="11" t="str">
        <f aca="false">IF(Rates_data!T65="","",Rates_data!T65)</f>
        <v/>
      </c>
      <c r="M9" s="11" t="str">
        <f aca="false">IF(Rates_data!U65="","",Rates_data!U65)</f>
        <v/>
      </c>
      <c r="N9" s="14" t="str">
        <f aca="false">IF(Rates_data!V65="","",Rates_data!V65)</f>
        <v/>
      </c>
      <c r="O9" s="11" t="n">
        <f aca="false">IF(Rates_data!W65="","",Rates_data!W65)</f>
        <v>255.23</v>
      </c>
      <c r="P9" s="14" t="str">
        <f aca="false">IF(Rates_data!X65="","",Rates_data!X65)</f>
        <v>negotiated</v>
      </c>
      <c r="Q9" s="11" t="n">
        <f aca="false">IF(Rates_data!AA65="","",Rates_data!AA65)</f>
        <v>135.93</v>
      </c>
      <c r="R9" s="16" t="n">
        <f aca="false">IF(Rates_data!AC65="","",Rates_data!AC65)</f>
        <v>1.87765761789156</v>
      </c>
    </row>
    <row r="10" customFormat="false" ht="15" hidden="false" customHeight="false" outlineLevel="0" collapsed="false">
      <c r="A10" s="2" t="s">
        <v>187</v>
      </c>
      <c r="B10" s="7" t="s">
        <v>91</v>
      </c>
      <c r="C10" s="7" t="s">
        <v>98</v>
      </c>
      <c r="D10" s="7" t="s">
        <v>43</v>
      </c>
      <c r="E10" s="7" t="s">
        <v>93</v>
      </c>
      <c r="F10" s="7" t="s">
        <v>142</v>
      </c>
      <c r="G10" s="7" t="s">
        <v>188</v>
      </c>
      <c r="H10" s="7" t="s">
        <v>189</v>
      </c>
      <c r="I10" s="11" t="n">
        <f aca="false">IF(Rates_data!P66="","",Rates_data!P66)</f>
        <v>266.92</v>
      </c>
      <c r="J10" s="14" t="str">
        <f aca="false">IF(Rates_data!O66="","",Rates_data!O66)</f>
        <v/>
      </c>
      <c r="K10" s="11" t="str">
        <f aca="false">IF(Rates_data!S66="","",Rates_data!S66)</f>
        <v/>
      </c>
      <c r="L10" s="11" t="str">
        <f aca="false">IF(Rates_data!T66="","",Rates_data!T66)</f>
        <v/>
      </c>
      <c r="M10" s="11" t="str">
        <f aca="false">IF(Rates_data!U66="","",Rates_data!U66)</f>
        <v/>
      </c>
      <c r="N10" s="14" t="str">
        <f aca="false">IF(Rates_data!V66="","",Rates_data!V66)</f>
        <v/>
      </c>
      <c r="O10" s="11" t="n">
        <f aca="false">IF(Rates_data!W66="","",Rates_data!W66)</f>
        <v>266.92</v>
      </c>
      <c r="P10" s="14" t="str">
        <f aca="false">IF(Rates_data!X66="","",Rates_data!X66)</f>
        <v>negotiated</v>
      </c>
      <c r="Q10" s="11" t="n">
        <f aca="false">IF(Rates_data!AA66="","",Rates_data!AA66)</f>
        <v>135.93</v>
      </c>
      <c r="R10" s="16" t="n">
        <f aca="false">IF(Rates_data!AC66="","",Rates_data!AC66)</f>
        <v>1.96365776502612</v>
      </c>
    </row>
    <row r="11" customFormat="false" ht="15" hidden="false" customHeight="false" outlineLevel="0" collapsed="false">
      <c r="A11" s="2" t="s">
        <v>187</v>
      </c>
      <c r="B11" s="7" t="s">
        <v>91</v>
      </c>
      <c r="C11" s="7" t="s">
        <v>45</v>
      </c>
      <c r="D11" s="7" t="s">
        <v>43</v>
      </c>
      <c r="E11" s="7" t="s">
        <v>93</v>
      </c>
      <c r="F11" s="7" t="s">
        <v>141</v>
      </c>
      <c r="G11" s="7" t="s">
        <v>188</v>
      </c>
      <c r="H11" s="7" t="s">
        <v>189</v>
      </c>
      <c r="I11" s="11" t="n">
        <f aca="false">IF(Rates_data!P69="","",Rates_data!P69)</f>
        <v>255.23</v>
      </c>
      <c r="J11" s="14" t="str">
        <f aca="false">IF(Rates_data!O69="","",Rates_data!O69)</f>
        <v/>
      </c>
      <c r="K11" s="11" t="str">
        <f aca="false">IF(Rates_data!S69="","",Rates_data!S69)</f>
        <v/>
      </c>
      <c r="L11" s="11" t="str">
        <f aca="false">IF(Rates_data!T69="","",Rates_data!T69)</f>
        <v/>
      </c>
      <c r="M11" s="11" t="str">
        <f aca="false">IF(Rates_data!U69="","",Rates_data!U69)</f>
        <v/>
      </c>
      <c r="N11" s="14" t="str">
        <f aca="false">IF(Rates_data!V69="","",Rates_data!V69)</f>
        <v/>
      </c>
      <c r="O11" s="11" t="n">
        <f aca="false">IF(Rates_data!W69="","",Rates_data!W69)</f>
        <v>255.23</v>
      </c>
      <c r="P11" s="14" t="str">
        <f aca="false">IF(Rates_data!X69="","",Rates_data!X69)</f>
        <v>negotiated</v>
      </c>
      <c r="Q11" s="11" t="n">
        <f aca="false">IF(Rates_data!AA69="","",Rates_data!AA69)</f>
        <v>135.93</v>
      </c>
      <c r="R11" s="16" t="n">
        <f aca="false">IF(Rates_data!AC69="","",Rates_data!AC69)</f>
        <v>1.87765761789156</v>
      </c>
    </row>
    <row r="12" customFormat="false" ht="15" hidden="false" customHeight="false" outlineLevel="0" collapsed="false">
      <c r="A12" s="2" t="s">
        <v>187</v>
      </c>
      <c r="B12" s="7" t="s">
        <v>91</v>
      </c>
      <c r="C12" s="7" t="s">
        <v>45</v>
      </c>
      <c r="D12" s="7" t="s">
        <v>43</v>
      </c>
      <c r="E12" s="7" t="s">
        <v>93</v>
      </c>
      <c r="F12" s="7" t="s">
        <v>142</v>
      </c>
      <c r="G12" s="7" t="s">
        <v>188</v>
      </c>
      <c r="H12" s="7" t="s">
        <v>189</v>
      </c>
      <c r="I12" s="11" t="n">
        <f aca="false">IF(Rates_data!P70="","",Rates_data!P70)</f>
        <v>266.92</v>
      </c>
      <c r="J12" s="14" t="str">
        <f aca="false">IF(Rates_data!O70="","",Rates_data!O70)</f>
        <v/>
      </c>
      <c r="K12" s="11" t="str">
        <f aca="false">IF(Rates_data!S70="","",Rates_data!S70)</f>
        <v/>
      </c>
      <c r="L12" s="11" t="str">
        <f aca="false">IF(Rates_data!T70="","",Rates_data!T70)</f>
        <v/>
      </c>
      <c r="M12" s="11" t="str">
        <f aca="false">IF(Rates_data!U70="","",Rates_data!U70)</f>
        <v/>
      </c>
      <c r="N12" s="14" t="str">
        <f aca="false">IF(Rates_data!V70="","",Rates_data!V70)</f>
        <v/>
      </c>
      <c r="O12" s="11" t="n">
        <f aca="false">IF(Rates_data!W70="","",Rates_data!W70)</f>
        <v>266.92</v>
      </c>
      <c r="P12" s="14" t="str">
        <f aca="false">IF(Rates_data!X70="","",Rates_data!X70)</f>
        <v>negotiated</v>
      </c>
      <c r="Q12" s="11" t="n">
        <f aca="false">IF(Rates_data!AA70="","",Rates_data!AA70)</f>
        <v>135.93</v>
      </c>
      <c r="R12" s="16" t="n">
        <f aca="false">IF(Rates_data!AC70="","",Rates_data!AC70)</f>
        <v>1.96365776502612</v>
      </c>
    </row>
    <row r="13" customFormat="false" ht="15" hidden="false" customHeight="false" outlineLevel="0" collapsed="false">
      <c r="A13" s="2" t="s">
        <v>187</v>
      </c>
      <c r="B13" s="7" t="s">
        <v>91</v>
      </c>
      <c r="C13" s="7" t="s">
        <v>60</v>
      </c>
      <c r="D13" s="7" t="s">
        <v>43</v>
      </c>
      <c r="E13" s="7" t="s">
        <v>93</v>
      </c>
      <c r="F13" s="7" t="s">
        <v>141</v>
      </c>
      <c r="G13" s="7" t="s">
        <v>188</v>
      </c>
      <c r="H13" s="7" t="s">
        <v>189</v>
      </c>
      <c r="I13" s="11" t="n">
        <f aca="false">IF(Rates_data!P73="","",Rates_data!P73)</f>
        <v>325.87</v>
      </c>
      <c r="J13" s="14" t="str">
        <f aca="false">IF(Rates_data!O73="","",Rates_data!O73)</f>
        <v/>
      </c>
      <c r="K13" s="11" t="str">
        <f aca="false">IF(Rates_data!S73="","",Rates_data!S73)</f>
        <v/>
      </c>
      <c r="L13" s="11" t="str">
        <f aca="false">IF(Rates_data!T73="","",Rates_data!T73)</f>
        <v/>
      </c>
      <c r="M13" s="11" t="str">
        <f aca="false">IF(Rates_data!U73="","",Rates_data!U73)</f>
        <v/>
      </c>
      <c r="N13" s="14" t="str">
        <f aca="false">IF(Rates_data!V73="","",Rates_data!V73)</f>
        <v/>
      </c>
      <c r="O13" s="11" t="n">
        <f aca="false">IF(Rates_data!W73="","",Rates_data!W73)</f>
        <v>325.87</v>
      </c>
      <c r="P13" s="14" t="str">
        <f aca="false">IF(Rates_data!X73="","",Rates_data!X73)</f>
        <v>negotiated</v>
      </c>
      <c r="Q13" s="11" t="n">
        <f aca="false">IF(Rates_data!AA73="","",Rates_data!AA73)</f>
        <v>220.6</v>
      </c>
      <c r="R13" s="16" t="n">
        <f aca="false">IF(Rates_data!AC73="","",Rates_data!AC73)</f>
        <v>1.4771985494107</v>
      </c>
    </row>
    <row r="14" customFormat="false" ht="15" hidden="false" customHeight="false" outlineLevel="0" collapsed="false">
      <c r="A14" s="2" t="s">
        <v>187</v>
      </c>
      <c r="B14" s="7" t="s">
        <v>91</v>
      </c>
      <c r="C14" s="7" t="s">
        <v>60</v>
      </c>
      <c r="D14" s="7" t="s">
        <v>43</v>
      </c>
      <c r="E14" s="7" t="s">
        <v>93</v>
      </c>
      <c r="F14" s="7" t="s">
        <v>142</v>
      </c>
      <c r="G14" s="7" t="s">
        <v>188</v>
      </c>
      <c r="H14" s="7" t="s">
        <v>189</v>
      </c>
      <c r="I14" s="11" t="n">
        <f aca="false">IF(Rates_data!P74="","",Rates_data!P74)</f>
        <v>340.79</v>
      </c>
      <c r="J14" s="14" t="str">
        <f aca="false">IF(Rates_data!O74="","",Rates_data!O74)</f>
        <v/>
      </c>
      <c r="K14" s="11" t="str">
        <f aca="false">IF(Rates_data!S74="","",Rates_data!S74)</f>
        <v/>
      </c>
      <c r="L14" s="11" t="str">
        <f aca="false">IF(Rates_data!T74="","",Rates_data!T74)</f>
        <v/>
      </c>
      <c r="M14" s="11" t="str">
        <f aca="false">IF(Rates_data!U74="","",Rates_data!U74)</f>
        <v/>
      </c>
      <c r="N14" s="14" t="str">
        <f aca="false">IF(Rates_data!V74="","",Rates_data!V74)</f>
        <v/>
      </c>
      <c r="O14" s="11" t="n">
        <f aca="false">IF(Rates_data!W74="","",Rates_data!W74)</f>
        <v>340.79</v>
      </c>
      <c r="P14" s="14" t="str">
        <f aca="false">IF(Rates_data!X74="","",Rates_data!X74)</f>
        <v>negotiated</v>
      </c>
      <c r="Q14" s="11" t="n">
        <f aca="false">IF(Rates_data!AA74="","",Rates_data!AA74)</f>
        <v>220.6</v>
      </c>
      <c r="R14" s="16" t="n">
        <f aca="false">IF(Rates_data!AC74="","",Rates_data!AC74)</f>
        <v>1.54483227561197</v>
      </c>
    </row>
    <row r="15" customFormat="false" ht="15" hidden="false" customHeight="false" outlineLevel="0" collapsed="false">
      <c r="A15" s="2" t="s">
        <v>95</v>
      </c>
      <c r="B15" s="7" t="s">
        <v>91</v>
      </c>
      <c r="C15" s="7" t="s">
        <v>92</v>
      </c>
      <c r="D15" s="7" t="s">
        <v>43</v>
      </c>
      <c r="E15" s="7" t="s">
        <v>94</v>
      </c>
      <c r="F15" s="7" t="s">
        <v>143</v>
      </c>
      <c r="G15" s="7" t="s">
        <v>188</v>
      </c>
      <c r="H15" s="7" t="s">
        <v>189</v>
      </c>
      <c r="I15" s="11" t="n">
        <f aca="false">IF(Rates_data!P58="","",Rates_data!P58)</f>
        <v>1329.39</v>
      </c>
      <c r="J15" s="14" t="str">
        <f aca="false">IF(Rates_data!O58="","",Rates_data!O58)</f>
        <v/>
      </c>
      <c r="K15" s="11" t="str">
        <f aca="false">IF(Rates_data!S58="","",Rates_data!S58)</f>
        <v/>
      </c>
      <c r="L15" s="11" t="str">
        <f aca="false">IF(Rates_data!T58="","",Rates_data!T58)</f>
        <v/>
      </c>
      <c r="M15" s="11" t="str">
        <f aca="false">IF(Rates_data!U58="","",Rates_data!U58)</f>
        <v/>
      </c>
      <c r="N15" s="14" t="str">
        <f aca="false">IF(Rates_data!V58="","",Rates_data!V58)</f>
        <v/>
      </c>
      <c r="O15" s="11" t="n">
        <f aca="false">IF(Rates_data!W58="","",Rates_data!W58)</f>
        <v>1329.39</v>
      </c>
      <c r="P15" s="14" t="str">
        <f aca="false">IF(Rates_data!X58="","",Rates_data!X58)</f>
        <v>negotiated</v>
      </c>
      <c r="Q15" s="11" t="n">
        <f aca="false">IF(Rates_data!AA58="","",Rates_data!AA58)</f>
        <v>381.24</v>
      </c>
      <c r="R15" s="16" t="n">
        <f aca="false">IF(Rates_data!AC58="","",Rates_data!AC58)</f>
        <v>3.48701605288008</v>
      </c>
    </row>
    <row r="16" customFormat="false" ht="15" hidden="false" customHeight="false" outlineLevel="0" collapsed="false">
      <c r="A16" s="2" t="s">
        <v>95</v>
      </c>
      <c r="B16" s="7" t="s">
        <v>91</v>
      </c>
      <c r="C16" s="7" t="s">
        <v>40</v>
      </c>
      <c r="D16" s="7" t="s">
        <v>43</v>
      </c>
      <c r="E16" s="7" t="s">
        <v>94</v>
      </c>
      <c r="F16" s="7" t="s">
        <v>143</v>
      </c>
      <c r="G16" s="7" t="s">
        <v>188</v>
      </c>
      <c r="H16" s="7" t="s">
        <v>189</v>
      </c>
      <c r="I16" s="11" t="n">
        <f aca="false">IF(Rates_data!P63="","",Rates_data!P63)</f>
        <v>396.97</v>
      </c>
      <c r="J16" s="14" t="str">
        <f aca="false">IF(Rates_data!O63="","",Rates_data!O63)</f>
        <v/>
      </c>
      <c r="K16" s="11" t="str">
        <f aca="false">IF(Rates_data!S63="","",Rates_data!S63)</f>
        <v/>
      </c>
      <c r="L16" s="11" t="str">
        <f aca="false">IF(Rates_data!T63="","",Rates_data!T63)</f>
        <v/>
      </c>
      <c r="M16" s="11" t="str">
        <f aca="false">IF(Rates_data!U63="","",Rates_data!U63)</f>
        <v/>
      </c>
      <c r="N16" s="14" t="str">
        <f aca="false">IF(Rates_data!V63="","",Rates_data!V63)</f>
        <v/>
      </c>
      <c r="O16" s="11" t="n">
        <f aca="false">IF(Rates_data!W63="","",Rates_data!W63)</f>
        <v>396.97</v>
      </c>
      <c r="P16" s="14" t="str">
        <f aca="false">IF(Rates_data!X63="","",Rates_data!X63)</f>
        <v>negotiated</v>
      </c>
      <c r="Q16" s="11" t="n">
        <f aca="false">IF(Rates_data!AA63="","",Rates_data!AA63)</f>
        <v>131.46</v>
      </c>
      <c r="R16" s="16" t="n">
        <f aca="false">IF(Rates_data!AC63="","",Rates_data!AC63)</f>
        <v>3.01970181043663</v>
      </c>
    </row>
    <row r="17" customFormat="false" ht="15" hidden="false" customHeight="false" outlineLevel="0" collapsed="false">
      <c r="A17" s="2" t="s">
        <v>95</v>
      </c>
      <c r="B17" s="7" t="s">
        <v>91</v>
      </c>
      <c r="C17" s="7" t="s">
        <v>98</v>
      </c>
      <c r="D17" s="7" t="s">
        <v>43</v>
      </c>
      <c r="E17" s="7" t="s">
        <v>94</v>
      </c>
      <c r="F17" s="7" t="s">
        <v>143</v>
      </c>
      <c r="G17" s="7" t="s">
        <v>188</v>
      </c>
      <c r="H17" s="7" t="s">
        <v>189</v>
      </c>
      <c r="I17" s="11" t="n">
        <f aca="false">IF(Rates_data!P67="","",Rates_data!P67)</f>
        <v>310.92</v>
      </c>
      <c r="J17" s="14" t="str">
        <f aca="false">IF(Rates_data!O67="","",Rates_data!O67)</f>
        <v/>
      </c>
      <c r="K17" s="11" t="str">
        <f aca="false">IF(Rates_data!S67="","",Rates_data!S67)</f>
        <v/>
      </c>
      <c r="L17" s="11" t="str">
        <f aca="false">IF(Rates_data!T67="","",Rates_data!T67)</f>
        <v/>
      </c>
      <c r="M17" s="11" t="str">
        <f aca="false">IF(Rates_data!U67="","",Rates_data!U67)</f>
        <v/>
      </c>
      <c r="N17" s="14" t="str">
        <f aca="false">IF(Rates_data!V67="","",Rates_data!V67)</f>
        <v/>
      </c>
      <c r="O17" s="11" t="n">
        <f aca="false">IF(Rates_data!W67="","",Rates_data!W67)</f>
        <v>310.92</v>
      </c>
      <c r="P17" s="14" t="str">
        <f aca="false">IF(Rates_data!X67="","",Rates_data!X67)</f>
        <v>negotiated</v>
      </c>
      <c r="Q17" s="11" t="n">
        <f aca="false">IF(Rates_data!AA67="","",Rates_data!AA67)</f>
        <v>135.93</v>
      </c>
      <c r="R17" s="16" t="n">
        <f aca="false">IF(Rates_data!AC67="","",Rates_data!AC67)</f>
        <v>2.28735378503642</v>
      </c>
    </row>
    <row r="18" customFormat="false" ht="15" hidden="false" customHeight="false" outlineLevel="0" collapsed="false">
      <c r="A18" s="2" t="s">
        <v>95</v>
      </c>
      <c r="B18" s="7" t="s">
        <v>91</v>
      </c>
      <c r="C18" s="7" t="s">
        <v>45</v>
      </c>
      <c r="D18" s="7" t="s">
        <v>43</v>
      </c>
      <c r="E18" s="7" t="s">
        <v>94</v>
      </c>
      <c r="F18" s="7" t="s">
        <v>143</v>
      </c>
      <c r="G18" s="7" t="s">
        <v>188</v>
      </c>
      <c r="H18" s="7" t="s">
        <v>189</v>
      </c>
      <c r="I18" s="11" t="n">
        <f aca="false">IF(Rates_data!P71="","",Rates_data!P71)</f>
        <v>310.92</v>
      </c>
      <c r="J18" s="14" t="str">
        <f aca="false">IF(Rates_data!O71="","",Rates_data!O71)</f>
        <v/>
      </c>
      <c r="K18" s="11" t="str">
        <f aca="false">IF(Rates_data!S71="","",Rates_data!S71)</f>
        <v/>
      </c>
      <c r="L18" s="11" t="str">
        <f aca="false">IF(Rates_data!T71="","",Rates_data!T71)</f>
        <v/>
      </c>
      <c r="M18" s="11" t="str">
        <f aca="false">IF(Rates_data!U71="","",Rates_data!U71)</f>
        <v/>
      </c>
      <c r="N18" s="14" t="str">
        <f aca="false">IF(Rates_data!V71="","",Rates_data!V71)</f>
        <v/>
      </c>
      <c r="O18" s="11" t="n">
        <f aca="false">IF(Rates_data!W71="","",Rates_data!W71)</f>
        <v>310.92</v>
      </c>
      <c r="P18" s="14" t="str">
        <f aca="false">IF(Rates_data!X71="","",Rates_data!X71)</f>
        <v>negotiated</v>
      </c>
      <c r="Q18" s="11" t="n">
        <f aca="false">IF(Rates_data!AA71="","",Rates_data!AA71)</f>
        <v>135.93</v>
      </c>
      <c r="R18" s="16" t="n">
        <f aca="false">IF(Rates_data!AC71="","",Rates_data!AC71)</f>
        <v>2.28735378503642</v>
      </c>
    </row>
    <row r="19" customFormat="false" ht="15" hidden="false" customHeight="false" outlineLevel="0" collapsed="false">
      <c r="A19" s="2" t="s">
        <v>95</v>
      </c>
      <c r="B19" s="7" t="s">
        <v>91</v>
      </c>
      <c r="C19" s="7" t="s">
        <v>60</v>
      </c>
      <c r="D19" s="7" t="s">
        <v>43</v>
      </c>
      <c r="E19" s="7" t="s">
        <v>94</v>
      </c>
      <c r="F19" s="7" t="s">
        <v>143</v>
      </c>
      <c r="G19" s="7" t="s">
        <v>188</v>
      </c>
      <c r="H19" s="7" t="s">
        <v>189</v>
      </c>
      <c r="I19" s="11" t="n">
        <f aca="false">IF(Rates_data!P75="","",Rates_data!P75)</f>
        <v>396.97</v>
      </c>
      <c r="J19" s="14" t="str">
        <f aca="false">IF(Rates_data!O75="","",Rates_data!O75)</f>
        <v/>
      </c>
      <c r="K19" s="11" t="str">
        <f aca="false">IF(Rates_data!S75="","",Rates_data!S75)</f>
        <v/>
      </c>
      <c r="L19" s="11" t="str">
        <f aca="false">IF(Rates_data!T75="","",Rates_data!T75)</f>
        <v/>
      </c>
      <c r="M19" s="11" t="str">
        <f aca="false">IF(Rates_data!U75="","",Rates_data!U75)</f>
        <v/>
      </c>
      <c r="N19" s="14" t="str">
        <f aca="false">IF(Rates_data!V75="","",Rates_data!V75)</f>
        <v/>
      </c>
      <c r="O19" s="11" t="n">
        <f aca="false">IF(Rates_data!W75="","",Rates_data!W75)</f>
        <v>396.97</v>
      </c>
      <c r="P19" s="14" t="str">
        <f aca="false">IF(Rates_data!X75="","",Rates_data!X75)</f>
        <v>negotiated</v>
      </c>
      <c r="Q19" s="11" t="n">
        <f aca="false">IF(Rates_data!AA75="","",Rates_data!AA75)</f>
        <v>220.6</v>
      </c>
      <c r="R19" s="16" t="n">
        <f aca="false">IF(Rates_data!AC75="","",Rates_data!AC75)</f>
        <v>1.79950135992747</v>
      </c>
    </row>
    <row r="20" customFormat="false" ht="15" hidden="false" customHeight="false" outlineLevel="0" collapsed="false">
      <c r="A20" s="2" t="s">
        <v>72</v>
      </c>
      <c r="B20" s="5" t="s">
        <v>190</v>
      </c>
    </row>
    <row r="21" customFormat="false" ht="15" hidden="false" customHeight="false" outlineLevel="0" collapsed="false">
      <c r="A21" s="2" t="s">
        <v>55</v>
      </c>
      <c r="B21" s="7" t="s">
        <v>39</v>
      </c>
      <c r="C21" s="7" t="s">
        <v>45</v>
      </c>
      <c r="D21" s="7" t="s">
        <v>43</v>
      </c>
      <c r="E21" s="7" t="s">
        <v>54</v>
      </c>
      <c r="F21" s="7" t="s">
        <v>128</v>
      </c>
      <c r="G21" s="7" t="s">
        <v>191</v>
      </c>
      <c r="H21" s="7" t="s">
        <v>192</v>
      </c>
      <c r="I21" s="11" t="n">
        <f aca="false">IF(Rates_data!P7="","",Rates_data!P7)</f>
        <v>358.8</v>
      </c>
      <c r="J21" s="14" t="n">
        <f aca="false">IF(Rates_data!O7="","",Rates_data!O7)</f>
        <v>36.5</v>
      </c>
      <c r="K21" s="11" t="n">
        <f aca="false">IF(Rates_data!S7="","",Rates_data!S7)</f>
        <v>355.47</v>
      </c>
      <c r="L21" s="11" t="n">
        <f aca="false">IF(Rates_data!T7="","",Rates_data!T7)</f>
        <v>302.1</v>
      </c>
      <c r="M21" s="11" t="n">
        <f aca="false">IF(Rates_data!U7="","",Rates_data!U7)</f>
        <v>355.47</v>
      </c>
      <c r="N21" s="14" t="str">
        <f aca="false">IF(Rates_data!V7="","",Rates_data!V7)</f>
        <v>13</v>
      </c>
      <c r="O21" s="11" t="n">
        <f aca="false">IF(Rates_data!W7="","",Rates_data!W7)</f>
        <v>355.47</v>
      </c>
      <c r="P21" s="14" t="str">
        <f aca="false">IF(Rates_data!X7="","",Rates_data!X7)</f>
        <v>median allowed</v>
      </c>
      <c r="Q21" s="11" t="n">
        <f aca="false">IF(Rates_data!AA7="","",Rates_data!AA7)</f>
        <v>135.93</v>
      </c>
      <c r="R21" s="16" t="n">
        <f aca="false">IF(Rates_data!AC7="","",Rates_data!AC7)</f>
        <v>2.63959390862944</v>
      </c>
    </row>
    <row r="22" customFormat="false" ht="15" hidden="false" customHeight="false" outlineLevel="0" collapsed="false">
      <c r="A22" s="2" t="s">
        <v>55</v>
      </c>
      <c r="B22" s="7" t="s">
        <v>39</v>
      </c>
      <c r="C22" s="7" t="s">
        <v>45</v>
      </c>
      <c r="D22" s="7" t="s">
        <v>43</v>
      </c>
      <c r="E22" s="7" t="s">
        <v>54</v>
      </c>
      <c r="F22" s="7" t="s">
        <v>129</v>
      </c>
      <c r="G22" s="7" t="s">
        <v>191</v>
      </c>
      <c r="H22" s="7" t="s">
        <v>192</v>
      </c>
      <c r="I22" s="11" t="n">
        <f aca="false">IF(Rates_data!P8="","",Rates_data!P8)</f>
        <v>376.49</v>
      </c>
      <c r="J22" s="14" t="n">
        <f aca="false">IF(Rates_data!O8="","",Rates_data!O8)</f>
        <v>38.3</v>
      </c>
      <c r="K22" s="11" t="n">
        <f aca="false">IF(Rates_data!S8="","",Rates_data!S8)</f>
        <v>372.62</v>
      </c>
      <c r="L22" s="11" t="n">
        <f aca="false">IF(Rates_data!T8="","",Rates_data!T8)</f>
        <v>372.62</v>
      </c>
      <c r="M22" s="11" t="n">
        <f aca="false">IF(Rates_data!U8="","",Rates_data!U8)</f>
        <v>372.62</v>
      </c>
      <c r="N22" s="14" t="str">
        <f aca="false">IF(Rates_data!V8="","",Rates_data!V8)</f>
        <v>36</v>
      </c>
      <c r="O22" s="11" t="n">
        <f aca="false">IF(Rates_data!W8="","",Rates_data!W8)</f>
        <v>372.62</v>
      </c>
      <c r="P22" s="14" t="str">
        <f aca="false">IF(Rates_data!X8="","",Rates_data!X8)</f>
        <v>median allowed</v>
      </c>
      <c r="Q22" s="11" t="n">
        <f aca="false">IF(Rates_data!AA8="","",Rates_data!AA8)</f>
        <v>135.93</v>
      </c>
      <c r="R22" s="16" t="n">
        <f aca="false">IF(Rates_data!AC8="","",Rates_data!AC8)</f>
        <v>2.76973442212904</v>
      </c>
    </row>
    <row r="23" customFormat="false" ht="15" hidden="false" customHeight="false" outlineLevel="0" collapsed="false">
      <c r="A23" s="2" t="s">
        <v>55</v>
      </c>
      <c r="B23" s="7" t="s">
        <v>39</v>
      </c>
      <c r="C23" s="7" t="s">
        <v>60</v>
      </c>
      <c r="D23" s="7" t="s">
        <v>43</v>
      </c>
      <c r="E23" s="7" t="s">
        <v>54</v>
      </c>
      <c r="F23" s="7" t="s">
        <v>128</v>
      </c>
      <c r="G23" s="7" t="s">
        <v>191</v>
      </c>
      <c r="H23" s="7" t="s">
        <v>192</v>
      </c>
      <c r="I23" s="11" t="n">
        <f aca="false">IF(Rates_data!P16="","",Rates_data!P16)</f>
        <v>419.02</v>
      </c>
      <c r="J23" s="14" t="n">
        <f aca="false">IF(Rates_data!O16="","",Rates_data!O16)</f>
        <v>36.5</v>
      </c>
      <c r="K23" s="11" t="n">
        <f aca="false">IF(Rates_data!S16="","",Rates_data!S16)</f>
        <v>415.15</v>
      </c>
      <c r="L23" s="11" t="n">
        <f aca="false">IF(Rates_data!T16="","",Rates_data!T16)</f>
        <v>352.82</v>
      </c>
      <c r="M23" s="11" t="n">
        <f aca="false">IF(Rates_data!U16="","",Rates_data!U16)</f>
        <v>415.15</v>
      </c>
      <c r="N23" s="14" t="str">
        <f aca="false">IF(Rates_data!V16="","",Rates_data!V16)</f>
        <v>13</v>
      </c>
      <c r="O23" s="11" t="n">
        <f aca="false">IF(Rates_data!W16="","",Rates_data!W16)</f>
        <v>415.15</v>
      </c>
      <c r="P23" s="14" t="str">
        <f aca="false">IF(Rates_data!X16="","",Rates_data!X16)</f>
        <v>median allowed</v>
      </c>
      <c r="Q23" s="11" t="n">
        <f aca="false">IF(Rates_data!AA16="","",Rates_data!AA16)</f>
        <v>369.77</v>
      </c>
      <c r="R23" s="16" t="n">
        <f aca="false">IF(Rates_data!AC16="","",Rates_data!AC16)</f>
        <v>1.13319090245288</v>
      </c>
    </row>
    <row r="24" customFormat="false" ht="15" hidden="false" customHeight="false" outlineLevel="0" collapsed="false">
      <c r="A24" s="2" t="s">
        <v>55</v>
      </c>
      <c r="B24" s="7" t="s">
        <v>39</v>
      </c>
      <c r="C24" s="7" t="s">
        <v>60</v>
      </c>
      <c r="D24" s="7" t="s">
        <v>43</v>
      </c>
      <c r="E24" s="7" t="s">
        <v>54</v>
      </c>
      <c r="F24" s="7" t="s">
        <v>129</v>
      </c>
      <c r="G24" s="7" t="s">
        <v>191</v>
      </c>
      <c r="H24" s="7" t="s">
        <v>192</v>
      </c>
      <c r="I24" s="11" t="n">
        <f aca="false">IF(Rates_data!P17="","",Rates_data!P17)</f>
        <v>439.68</v>
      </c>
      <c r="J24" s="14" t="n">
        <f aca="false">IF(Rates_data!O17="","",Rates_data!O17)</f>
        <v>38.3</v>
      </c>
      <c r="K24" s="11" t="n">
        <f aca="false">IF(Rates_data!S17="","",Rates_data!S17)</f>
        <v>435.18</v>
      </c>
      <c r="L24" s="11" t="n">
        <f aca="false">IF(Rates_data!T17="","",Rates_data!T17)</f>
        <v>435.18</v>
      </c>
      <c r="M24" s="11" t="n">
        <f aca="false">IF(Rates_data!U17="","",Rates_data!U17)</f>
        <v>435.18</v>
      </c>
      <c r="N24" s="14" t="str">
        <f aca="false">IF(Rates_data!V17="","",Rates_data!V17)</f>
        <v>36</v>
      </c>
      <c r="O24" s="11" t="n">
        <f aca="false">IF(Rates_data!W17="","",Rates_data!W17)</f>
        <v>435.18</v>
      </c>
      <c r="P24" s="14" t="str">
        <f aca="false">IF(Rates_data!X17="","",Rates_data!X17)</f>
        <v>median allowed</v>
      </c>
      <c r="Q24" s="11" t="n">
        <f aca="false">IF(Rates_data!AA17="","",Rates_data!AA17)</f>
        <v>369.77</v>
      </c>
      <c r="R24" s="16" t="n">
        <f aca="false">IF(Rates_data!AC17="","",Rates_data!AC17)</f>
        <v>1.18906347188793</v>
      </c>
    </row>
    <row r="25" customFormat="false" ht="15" hidden="false" customHeight="false" outlineLevel="0" collapsed="false">
      <c r="A25" s="2" t="s">
        <v>42</v>
      </c>
      <c r="B25" s="7" t="s">
        <v>39</v>
      </c>
      <c r="C25" s="7" t="s">
        <v>40</v>
      </c>
      <c r="D25" s="7" t="s">
        <v>43</v>
      </c>
      <c r="E25" s="7" t="s">
        <v>41</v>
      </c>
      <c r="F25" s="7" t="s">
        <v>131</v>
      </c>
      <c r="G25" s="7" t="s">
        <v>188</v>
      </c>
      <c r="H25" s="7" t="s">
        <v>192</v>
      </c>
      <c r="I25" s="11" t="n">
        <f aca="false">IF(Rates_data!P2="","",Rates_data!P2)</f>
        <v>500.13</v>
      </c>
      <c r="J25" s="14" t="n">
        <f aca="false">IF(Rates_data!O2="","",Rates_data!O2)</f>
        <v>81.72</v>
      </c>
      <c r="K25" s="11" t="n">
        <f aca="false">IF(Rates_data!S2="","",Rates_data!S2)</f>
        <v>474.04</v>
      </c>
      <c r="L25" s="11" t="n">
        <f aca="false">IF(Rates_data!T2="","",Rates_data!T2)</f>
        <v>474.04</v>
      </c>
      <c r="M25" s="11" t="n">
        <f aca="false">IF(Rates_data!U2="","",Rates_data!U2)</f>
        <v>474.04</v>
      </c>
      <c r="N25" s="14" t="str">
        <f aca="false">IF(Rates_data!V2="","",Rates_data!V2)</f>
        <v>1 through 10</v>
      </c>
      <c r="O25" s="11" t="n">
        <f aca="false">IF(Rates_data!W2="","",Rates_data!W2)</f>
        <v>474.04</v>
      </c>
      <c r="P25" s="14" t="str">
        <f aca="false">IF(Rates_data!X2="","",Rates_data!X2)</f>
        <v>median allowed</v>
      </c>
      <c r="Q25" s="11" t="n">
        <f aca="false">IF(Rates_data!AA2="","",Rates_data!AA2)</f>
        <v>131.46</v>
      </c>
      <c r="R25" s="16" t="n">
        <f aca="false">IF(Rates_data!AC2="","",Rates_data!AC2)</f>
        <v>3.80442720219078</v>
      </c>
    </row>
    <row r="26" customFormat="false" ht="15" hidden="false" customHeight="false" outlineLevel="0" collapsed="false">
      <c r="A26" s="2" t="s">
        <v>42</v>
      </c>
      <c r="B26" s="7" t="s">
        <v>39</v>
      </c>
      <c r="C26" s="7" t="s">
        <v>45</v>
      </c>
      <c r="D26" s="7" t="s">
        <v>43</v>
      </c>
      <c r="E26" s="7" t="s">
        <v>41</v>
      </c>
      <c r="F26" s="7" t="s">
        <v>130</v>
      </c>
      <c r="G26" s="7" t="s">
        <v>191</v>
      </c>
      <c r="H26" s="7" t="s">
        <v>192</v>
      </c>
      <c r="I26" s="11" t="n">
        <f aca="false">IF(Rates_data!P9="","",Rates_data!P9)</f>
        <v>421.71</v>
      </c>
      <c r="J26" s="14" t="n">
        <f aca="false">IF(Rates_data!O9="","",Rates_data!O9)</f>
        <v>42.9</v>
      </c>
      <c r="K26" s="11" t="n">
        <f aca="false">IF(Rates_data!S9="","",Rates_data!S9)</f>
        <v>761.83</v>
      </c>
      <c r="L26" s="11" t="n">
        <f aca="false">IF(Rates_data!T9="","",Rates_data!T9)</f>
        <v>761.83</v>
      </c>
      <c r="M26" s="11" t="n">
        <f aca="false">IF(Rates_data!U9="","",Rates_data!U9)</f>
        <v>761.83</v>
      </c>
      <c r="N26" s="14" t="str">
        <f aca="false">IF(Rates_data!V9="","",Rates_data!V9)</f>
        <v>1 through 10</v>
      </c>
      <c r="O26" s="11" t="n">
        <f aca="false">IF(Rates_data!W9="","",Rates_data!W9)</f>
        <v>761.83</v>
      </c>
      <c r="P26" s="14" t="str">
        <f aca="false">IF(Rates_data!X9="","",Rates_data!X9)</f>
        <v>median allowed</v>
      </c>
      <c r="Q26" s="11" t="n">
        <f aca="false">IF(Rates_data!AA9="","",Rates_data!AA9)</f>
        <v>135.93</v>
      </c>
      <c r="R26" s="16" t="n">
        <f aca="false">IF(Rates_data!AC9="","",Rates_data!AC9)</f>
        <v>3.10240564996689</v>
      </c>
    </row>
    <row r="27" customFormat="false" ht="15" hidden="false" customHeight="false" outlineLevel="0" collapsed="false">
      <c r="A27" s="2" t="s">
        <v>42</v>
      </c>
      <c r="B27" s="7" t="s">
        <v>39</v>
      </c>
      <c r="C27" s="7" t="s">
        <v>45</v>
      </c>
      <c r="D27" s="7" t="s">
        <v>43</v>
      </c>
      <c r="E27" s="7" t="s">
        <v>41</v>
      </c>
      <c r="F27" s="7" t="s">
        <v>131</v>
      </c>
      <c r="G27" s="7" t="s">
        <v>188</v>
      </c>
      <c r="H27" s="7" t="s">
        <v>192</v>
      </c>
      <c r="I27" s="11" t="n">
        <f aca="false">IF(Rates_data!P10="","",Rates_data!P10)</f>
        <v>803.31</v>
      </c>
      <c r="J27" s="14" t="n">
        <f aca="false">IF(Rates_data!O10="","",Rates_data!O10)</f>
        <v>81.72</v>
      </c>
      <c r="K27" s="11" t="n">
        <f aca="false">IF(Rates_data!S10="","",Rates_data!S10)</f>
        <v>761.83</v>
      </c>
      <c r="L27" s="11" t="n">
        <f aca="false">IF(Rates_data!T10="","",Rates_data!T10)</f>
        <v>761.83</v>
      </c>
      <c r="M27" s="11" t="n">
        <f aca="false">IF(Rates_data!U10="","",Rates_data!U10)</f>
        <v>1212.81</v>
      </c>
      <c r="N27" s="14" t="str">
        <f aca="false">IF(Rates_data!V10="","",Rates_data!V10)</f>
        <v>18</v>
      </c>
      <c r="O27" s="11" t="n">
        <f aca="false">IF(Rates_data!W10="","",Rates_data!W10)</f>
        <v>761.83</v>
      </c>
      <c r="P27" s="14" t="str">
        <f aca="false">IF(Rates_data!X10="","",Rates_data!X10)</f>
        <v>median allowed</v>
      </c>
      <c r="Q27" s="11" t="n">
        <f aca="false">IF(Rates_data!AA10="","",Rates_data!AA10)</f>
        <v>135.93</v>
      </c>
      <c r="R27" s="16" t="n">
        <f aca="false">IF(Rates_data!AC10="","",Rates_data!AC10)</f>
        <v>5.90973295078349</v>
      </c>
    </row>
    <row r="28" customFormat="false" ht="15" hidden="false" customHeight="false" outlineLevel="0" collapsed="false">
      <c r="A28" s="2" t="s">
        <v>42</v>
      </c>
      <c r="B28" s="7" t="s">
        <v>39</v>
      </c>
      <c r="C28" s="7" t="s">
        <v>60</v>
      </c>
      <c r="D28" s="7" t="s">
        <v>43</v>
      </c>
      <c r="E28" s="7" t="s">
        <v>41</v>
      </c>
      <c r="F28" s="7" t="s">
        <v>130</v>
      </c>
      <c r="G28" s="7" t="s">
        <v>191</v>
      </c>
      <c r="H28" s="7" t="s">
        <v>192</v>
      </c>
      <c r="I28" s="11" t="n">
        <f aca="false">IF(Rates_data!P18="","",Rates_data!P18)</f>
        <v>492.49</v>
      </c>
      <c r="J28" s="14" t="n">
        <f aca="false">IF(Rates_data!O18="","",Rates_data!O18)</f>
        <v>42.9</v>
      </c>
      <c r="K28" s="11" t="n">
        <f aca="false">IF(Rates_data!S18="","",Rates_data!S18)</f>
        <v>889.73</v>
      </c>
      <c r="L28" s="11" t="n">
        <f aca="false">IF(Rates_data!T18="","",Rates_data!T18)</f>
        <v>889.73</v>
      </c>
      <c r="M28" s="11" t="n">
        <f aca="false">IF(Rates_data!U18="","",Rates_data!U18)</f>
        <v>889.73</v>
      </c>
      <c r="N28" s="14" t="str">
        <f aca="false">IF(Rates_data!V18="","",Rates_data!V18)</f>
        <v>1 through 10</v>
      </c>
      <c r="O28" s="11" t="n">
        <f aca="false">IF(Rates_data!W18="","",Rates_data!W18)</f>
        <v>889.73</v>
      </c>
      <c r="P28" s="14" t="str">
        <f aca="false">IF(Rates_data!X18="","",Rates_data!X18)</f>
        <v>median allowed</v>
      </c>
      <c r="Q28" s="11" t="n">
        <f aca="false">IF(Rates_data!AA18="","",Rates_data!AA18)</f>
        <v>369.77</v>
      </c>
      <c r="R28" s="16" t="n">
        <f aca="false">IF(Rates_data!AC18="","",Rates_data!AC18)</f>
        <v>1.3318819806907</v>
      </c>
    </row>
    <row r="29" customFormat="false" ht="15" hidden="false" customHeight="false" outlineLevel="0" collapsed="false">
      <c r="A29" s="2" t="s">
        <v>42</v>
      </c>
      <c r="B29" s="7" t="s">
        <v>39</v>
      </c>
      <c r="C29" s="7" t="s">
        <v>60</v>
      </c>
      <c r="D29" s="7" t="s">
        <v>43</v>
      </c>
      <c r="E29" s="7" t="s">
        <v>41</v>
      </c>
      <c r="F29" s="7" t="s">
        <v>131</v>
      </c>
      <c r="G29" s="7" t="s">
        <v>188</v>
      </c>
      <c r="H29" s="7" t="s">
        <v>192</v>
      </c>
      <c r="I29" s="11" t="n">
        <f aca="false">IF(Rates_data!P19="","",Rates_data!P19)</f>
        <v>938.15</v>
      </c>
      <c r="J29" s="14" t="n">
        <f aca="false">IF(Rates_data!O19="","",Rates_data!O19)</f>
        <v>81.72</v>
      </c>
      <c r="K29" s="11" t="n">
        <f aca="false">IF(Rates_data!S19="","",Rates_data!S19)</f>
        <v>889.73</v>
      </c>
      <c r="L29" s="11" t="n">
        <f aca="false">IF(Rates_data!T19="","",Rates_data!T19)</f>
        <v>889.73</v>
      </c>
      <c r="M29" s="11" t="n">
        <f aca="false">IF(Rates_data!U19="","",Rates_data!U19)</f>
        <v>1444.72</v>
      </c>
      <c r="N29" s="14" t="str">
        <f aca="false">IF(Rates_data!V19="","",Rates_data!V19)</f>
        <v>17</v>
      </c>
      <c r="O29" s="11" t="n">
        <f aca="false">IF(Rates_data!W19="","",Rates_data!W19)</f>
        <v>889.73</v>
      </c>
      <c r="P29" s="14" t="str">
        <f aca="false">IF(Rates_data!X19="","",Rates_data!X19)</f>
        <v>median allowed</v>
      </c>
      <c r="Q29" s="11" t="n">
        <f aca="false">IF(Rates_data!AA19="","",Rates_data!AA19)</f>
        <v>369.77</v>
      </c>
      <c r="R29" s="16" t="n">
        <f aca="false">IF(Rates_data!AC19="","",Rates_data!AC19)</f>
        <v>2.53711766773941</v>
      </c>
    </row>
    <row r="30" customFormat="false" ht="15" hidden="false" customHeight="false" outlineLevel="0" collapsed="false">
      <c r="A30" s="2" t="s">
        <v>42</v>
      </c>
      <c r="B30" s="7" t="s">
        <v>79</v>
      </c>
      <c r="C30" s="7" t="s">
        <v>40</v>
      </c>
      <c r="D30" s="7" t="s">
        <v>43</v>
      </c>
      <c r="E30" s="7" t="s">
        <v>41</v>
      </c>
      <c r="F30" s="7" t="s">
        <v>137</v>
      </c>
      <c r="G30" s="7" t="s">
        <v>188</v>
      </c>
      <c r="H30" s="7" t="s">
        <v>192</v>
      </c>
      <c r="I30" s="11" t="n">
        <f aca="false">IF(Rates_data!P30="","",Rates_data!P30)</f>
        <v>338.12</v>
      </c>
      <c r="J30" s="14" t="n">
        <f aca="false">IF(Rates_data!O30="","",Rates_data!O30)</f>
        <v>78.45</v>
      </c>
      <c r="K30" s="11" t="n">
        <f aca="false">IF(Rates_data!S30="","",Rates_data!S30)</f>
        <v>322.13</v>
      </c>
      <c r="L30" s="11" t="n">
        <f aca="false">IF(Rates_data!T30="","",Rates_data!T30)</f>
        <v>322.13</v>
      </c>
      <c r="M30" s="11" t="n">
        <f aca="false">IF(Rates_data!U30="","",Rates_data!U30)</f>
        <v>322.13</v>
      </c>
      <c r="N30" s="14" t="str">
        <f aca="false">IF(Rates_data!V30="","",Rates_data!V30)</f>
        <v>1 through 10</v>
      </c>
      <c r="O30" s="11" t="n">
        <f aca="false">IF(Rates_data!W30="","",Rates_data!W30)</f>
        <v>322.13</v>
      </c>
      <c r="P30" s="14" t="str">
        <f aca="false">IF(Rates_data!X30="","",Rates_data!X30)</f>
        <v>median allowed</v>
      </c>
      <c r="Q30" s="11" t="n">
        <f aca="false">IF(Rates_data!AA30="","",Rates_data!AA30)</f>
        <v>185.81</v>
      </c>
      <c r="R30" s="16" t="n">
        <f aca="false">IF(Rates_data!AC30="","",Rates_data!AC30)</f>
        <v>1.81970830418169</v>
      </c>
    </row>
    <row r="31" customFormat="false" ht="15" hidden="false" customHeight="false" outlineLevel="0" collapsed="false">
      <c r="A31" s="2" t="s">
        <v>42</v>
      </c>
      <c r="B31" s="7" t="s">
        <v>79</v>
      </c>
      <c r="C31" s="7" t="s">
        <v>45</v>
      </c>
      <c r="D31" s="7" t="s">
        <v>43</v>
      </c>
      <c r="E31" s="7" t="s">
        <v>41</v>
      </c>
      <c r="F31" s="7" t="s">
        <v>130</v>
      </c>
      <c r="G31" s="7" t="s">
        <v>188</v>
      </c>
      <c r="H31" s="7" t="s">
        <v>192</v>
      </c>
      <c r="I31" s="11" t="n">
        <f aca="false">IF(Rates_data!P35="","",Rates_data!P35)</f>
        <v>309.37</v>
      </c>
      <c r="J31" s="14" t="n">
        <f aca="false">IF(Rates_data!O35="","",Rates_data!O35)</f>
        <v>44.45</v>
      </c>
      <c r="K31" s="11" t="n">
        <f aca="false">IF(Rates_data!S35="","",Rates_data!S35)</f>
        <v>308.44</v>
      </c>
      <c r="L31" s="11" t="n">
        <f aca="false">IF(Rates_data!T35="","",Rates_data!T35)</f>
        <v>308.44</v>
      </c>
      <c r="M31" s="11" t="n">
        <f aca="false">IF(Rates_data!U35="","",Rates_data!U35)</f>
        <v>308.44</v>
      </c>
      <c r="N31" s="14" t="str">
        <f aca="false">IF(Rates_data!V35="","",Rates_data!V35)</f>
        <v>1 through 10</v>
      </c>
      <c r="O31" s="11" t="n">
        <f aca="false">IF(Rates_data!W35="","",Rates_data!W35)</f>
        <v>308.44</v>
      </c>
      <c r="P31" s="14" t="str">
        <f aca="false">IF(Rates_data!X35="","",Rates_data!X35)</f>
        <v>median allowed</v>
      </c>
      <c r="Q31" s="11" t="n">
        <f aca="false">IF(Rates_data!AA35="","",Rates_data!AA35)</f>
        <v>153.08</v>
      </c>
      <c r="R31" s="16" t="n">
        <f aca="false">IF(Rates_data!AC35="","",Rates_data!AC35)</f>
        <v>2.0209694277502</v>
      </c>
    </row>
    <row r="32" customFormat="false" ht="15" hidden="false" customHeight="false" outlineLevel="0" collapsed="false">
      <c r="A32" s="2" t="s">
        <v>42</v>
      </c>
      <c r="B32" s="7" t="s">
        <v>79</v>
      </c>
      <c r="C32" s="7" t="s">
        <v>45</v>
      </c>
      <c r="D32" s="7" t="s">
        <v>43</v>
      </c>
      <c r="E32" s="7" t="s">
        <v>41</v>
      </c>
      <c r="F32" s="7" t="s">
        <v>137</v>
      </c>
      <c r="G32" s="7" t="s">
        <v>188</v>
      </c>
      <c r="H32" s="7" t="s">
        <v>192</v>
      </c>
      <c r="I32" s="11" t="n">
        <f aca="false">IF(Rates_data!P36="","",Rates_data!P36)</f>
        <v>546.01</v>
      </c>
      <c r="J32" s="14" t="n">
        <f aca="false">IF(Rates_data!O36="","",Rates_data!O36)</f>
        <v>78.45</v>
      </c>
      <c r="K32" s="11" t="n">
        <f aca="false">IF(Rates_data!S36="","",Rates_data!S36)</f>
        <v>520.48</v>
      </c>
      <c r="L32" s="11" t="n">
        <f aca="false">IF(Rates_data!T36="","",Rates_data!T36)</f>
        <v>308.44</v>
      </c>
      <c r="M32" s="11" t="n">
        <f aca="false">IF(Rates_data!U36="","",Rates_data!U36)</f>
        <v>520.48</v>
      </c>
      <c r="N32" s="14" t="str">
        <f aca="false">IF(Rates_data!V36="","",Rates_data!V36)</f>
        <v>22</v>
      </c>
      <c r="O32" s="11" t="n">
        <f aca="false">IF(Rates_data!W36="","",Rates_data!W36)</f>
        <v>520.48</v>
      </c>
      <c r="P32" s="14" t="str">
        <f aca="false">IF(Rates_data!X36="","",Rates_data!X36)</f>
        <v>median allowed</v>
      </c>
      <c r="Q32" s="11" t="n">
        <f aca="false">IF(Rates_data!AA36="","",Rates_data!AA36)</f>
        <v>153.08</v>
      </c>
      <c r="R32" s="16" t="n">
        <f aca="false">IF(Rates_data!AC36="","",Rates_data!AC36)</f>
        <v>3.56682780245623</v>
      </c>
    </row>
    <row r="33" customFormat="false" ht="15" hidden="false" customHeight="false" outlineLevel="0" collapsed="false">
      <c r="A33" s="2" t="s">
        <v>42</v>
      </c>
      <c r="B33" s="7" t="s">
        <v>79</v>
      </c>
      <c r="C33" s="7" t="s">
        <v>60</v>
      </c>
      <c r="D33" s="7" t="s">
        <v>43</v>
      </c>
      <c r="E33" s="7" t="s">
        <v>41</v>
      </c>
      <c r="F33" s="7" t="s">
        <v>130</v>
      </c>
      <c r="G33" s="7" t="s">
        <v>188</v>
      </c>
      <c r="H33" s="7" t="s">
        <v>192</v>
      </c>
      <c r="I33" s="11" t="n">
        <f aca="false">IF(Rates_data!P43="","",Rates_data!P43)</f>
        <v>359.6</v>
      </c>
      <c r="J33" s="14" t="n">
        <f aca="false">IF(Rates_data!O43="","",Rates_data!O43)</f>
        <v>44.45</v>
      </c>
      <c r="K33" s="11" t="n">
        <f aca="false">IF(Rates_data!S43="","",Rates_data!S43)</f>
        <v>358.56</v>
      </c>
      <c r="L33" s="11" t="n">
        <f aca="false">IF(Rates_data!T43="","",Rates_data!T43)</f>
        <v>358.56</v>
      </c>
      <c r="M33" s="11" t="n">
        <f aca="false">IF(Rates_data!U43="","",Rates_data!U43)</f>
        <v>358.56</v>
      </c>
      <c r="N33" s="14" t="str">
        <f aca="false">IF(Rates_data!V43="","",Rates_data!V43)</f>
        <v>1 through 10</v>
      </c>
      <c r="O33" s="11" t="n">
        <f aca="false">IF(Rates_data!W43="","",Rates_data!W43)</f>
        <v>358.56</v>
      </c>
      <c r="P33" s="14" t="str">
        <f aca="false">IF(Rates_data!X43="","",Rates_data!X43)</f>
        <v>median allowed</v>
      </c>
      <c r="Q33" s="11" t="n">
        <f aca="false">IF(Rates_data!AA43="","",Rates_data!AA43)</f>
        <v>369.81</v>
      </c>
      <c r="R33" s="16" t="n">
        <f aca="false">IF(Rates_data!AC43="","",Rates_data!AC43)</f>
        <v>0.972391227927855</v>
      </c>
    </row>
    <row r="34" customFormat="false" ht="15" hidden="false" customHeight="false" outlineLevel="0" collapsed="false">
      <c r="A34" s="2" t="s">
        <v>42</v>
      </c>
      <c r="B34" s="7" t="s">
        <v>79</v>
      </c>
      <c r="C34" s="7" t="s">
        <v>60</v>
      </c>
      <c r="D34" s="7" t="s">
        <v>43</v>
      </c>
      <c r="E34" s="7" t="s">
        <v>41</v>
      </c>
      <c r="F34" s="7" t="s">
        <v>137</v>
      </c>
      <c r="G34" s="7" t="s">
        <v>188</v>
      </c>
      <c r="H34" s="7" t="s">
        <v>192</v>
      </c>
      <c r="I34" s="11" t="n">
        <f aca="false">IF(Rates_data!P44="","",Rates_data!P44)</f>
        <v>634.66</v>
      </c>
      <c r="J34" s="14" t="n">
        <f aca="false">IF(Rates_data!O44="","",Rates_data!O44)</f>
        <v>78.45</v>
      </c>
      <c r="K34" s="11" t="n">
        <f aca="false">IF(Rates_data!S44="","",Rates_data!S44)</f>
        <v>605.05</v>
      </c>
      <c r="L34" s="11" t="n">
        <f aca="false">IF(Rates_data!T44="","",Rates_data!T44)</f>
        <v>358.56</v>
      </c>
      <c r="M34" s="11" t="n">
        <f aca="false">IF(Rates_data!U44="","",Rates_data!U44)</f>
        <v>605.05</v>
      </c>
      <c r="N34" s="14" t="str">
        <f aca="false">IF(Rates_data!V44="","",Rates_data!V44)</f>
        <v>21</v>
      </c>
      <c r="O34" s="11" t="n">
        <f aca="false">IF(Rates_data!W44="","",Rates_data!W44)</f>
        <v>605.05</v>
      </c>
      <c r="P34" s="14" t="str">
        <f aca="false">IF(Rates_data!X44="","",Rates_data!X44)</f>
        <v>median allowed</v>
      </c>
      <c r="Q34" s="11" t="n">
        <f aca="false">IF(Rates_data!AA44="","",Rates_data!AA44)</f>
        <v>369.81</v>
      </c>
      <c r="R34" s="16" t="n">
        <f aca="false">IF(Rates_data!AC44="","",Rates_data!AC44)</f>
        <v>1.7161785781888</v>
      </c>
    </row>
    <row r="35" customFormat="false" ht="15" hidden="false" customHeight="false" outlineLevel="0" collapsed="false">
      <c r="A35" s="2" t="s">
        <v>47</v>
      </c>
      <c r="B35" s="7" t="s">
        <v>39</v>
      </c>
      <c r="C35" s="7" t="s">
        <v>45</v>
      </c>
      <c r="D35" s="7" t="s">
        <v>43</v>
      </c>
      <c r="E35" s="7" t="s">
        <v>46</v>
      </c>
      <c r="F35" s="7" t="s">
        <v>123</v>
      </c>
      <c r="G35" s="7" t="s">
        <v>188</v>
      </c>
      <c r="H35" s="7" t="s">
        <v>192</v>
      </c>
      <c r="I35" s="11" t="n">
        <f aca="false">IF(Rates_data!P3="","",Rates_data!P3)</f>
        <v>686.13</v>
      </c>
      <c r="J35" s="14" t="n">
        <f aca="false">IF(Rates_data!O3="","",Rates_data!O3)</f>
        <v>69.8</v>
      </c>
      <c r="K35" s="11" t="n">
        <f aca="false">IF(Rates_data!S3="","",Rates_data!S3)</f>
        <v>1212.81</v>
      </c>
      <c r="L35" s="11" t="n">
        <f aca="false">IF(Rates_data!T3="","",Rates_data!T3)</f>
        <v>645.18</v>
      </c>
      <c r="M35" s="11" t="n">
        <f aca="false">IF(Rates_data!U3="","",Rates_data!U3)</f>
        <v>1212.81</v>
      </c>
      <c r="N35" s="14" t="str">
        <f aca="false">IF(Rates_data!V3="","",Rates_data!V3)</f>
        <v>1 through 10</v>
      </c>
      <c r="O35" s="11" t="n">
        <f aca="false">IF(Rates_data!W3="","",Rates_data!W3)</f>
        <v>1212.81</v>
      </c>
      <c r="P35" s="14" t="str">
        <f aca="false">IF(Rates_data!X3="","",Rates_data!X3)</f>
        <v>median allowed</v>
      </c>
      <c r="Q35" s="11" t="n">
        <f aca="false">IF(Rates_data!AA3="","",Rates_data!AA3)</f>
        <v>135.93</v>
      </c>
      <c r="R35" s="16" t="n">
        <f aca="false">IF(Rates_data!AC3="","",Rates_data!AC3)</f>
        <v>5.04767159567424</v>
      </c>
    </row>
    <row r="36" customFormat="false" ht="15" hidden="false" customHeight="false" outlineLevel="0" collapsed="false">
      <c r="A36" s="2" t="s">
        <v>47</v>
      </c>
      <c r="B36" s="7" t="s">
        <v>39</v>
      </c>
      <c r="C36" s="7" t="s">
        <v>60</v>
      </c>
      <c r="D36" s="7" t="s">
        <v>43</v>
      </c>
      <c r="E36" s="7" t="s">
        <v>46</v>
      </c>
      <c r="F36" s="7" t="s">
        <v>123</v>
      </c>
      <c r="G36" s="7" t="s">
        <v>188</v>
      </c>
      <c r="H36" s="7" t="s">
        <v>192</v>
      </c>
      <c r="I36" s="11" t="n">
        <f aca="false">IF(Rates_data!P12="","",Rates_data!P12)</f>
        <v>801.3</v>
      </c>
      <c r="J36" s="14" t="n">
        <f aca="false">IF(Rates_data!O12="","",Rates_data!O12)</f>
        <v>69.8</v>
      </c>
      <c r="K36" s="11" t="n">
        <f aca="false">IF(Rates_data!S12="","",Rates_data!S12)</f>
        <v>1444.72</v>
      </c>
      <c r="L36" s="11" t="n">
        <f aca="false">IF(Rates_data!T12="","",Rates_data!T12)</f>
        <v>753.5</v>
      </c>
      <c r="M36" s="11" t="n">
        <f aca="false">IF(Rates_data!U12="","",Rates_data!U12)</f>
        <v>1444.72</v>
      </c>
      <c r="N36" s="14" t="str">
        <f aca="false">IF(Rates_data!V12="","",Rates_data!V12)</f>
        <v>1 through 10</v>
      </c>
      <c r="O36" s="11" t="n">
        <f aca="false">IF(Rates_data!W12="","",Rates_data!W12)</f>
        <v>1444.72</v>
      </c>
      <c r="P36" s="14" t="str">
        <f aca="false">IF(Rates_data!X12="","",Rates_data!X12)</f>
        <v>median allowed</v>
      </c>
      <c r="Q36" s="11" t="n">
        <f aca="false">IF(Rates_data!AA12="","",Rates_data!AA12)</f>
        <v>369.77</v>
      </c>
      <c r="R36" s="16" t="n">
        <f aca="false">IF(Rates_data!AC12="","",Rates_data!AC12)</f>
        <v>2.16702274386781</v>
      </c>
    </row>
    <row r="37" customFormat="false" ht="15" hidden="false" customHeight="false" outlineLevel="0" collapsed="false">
      <c r="A37" s="2" t="s">
        <v>49</v>
      </c>
      <c r="B37" s="7" t="s">
        <v>39</v>
      </c>
      <c r="C37" s="7" t="s">
        <v>45</v>
      </c>
      <c r="D37" s="7" t="s">
        <v>43</v>
      </c>
      <c r="E37" s="7" t="s">
        <v>48</v>
      </c>
      <c r="F37" s="7" t="s">
        <v>125</v>
      </c>
      <c r="G37" s="7" t="s">
        <v>191</v>
      </c>
      <c r="H37" s="7" t="s">
        <v>192</v>
      </c>
      <c r="I37" s="11" t="n">
        <f aca="false">IF(Rates_data!P4="","",Rates_data!P4)</f>
        <v>523.94</v>
      </c>
      <c r="J37" s="14" t="n">
        <f aca="false">IF(Rates_data!O4="","",Rates_data!O4)</f>
        <v>53.3</v>
      </c>
      <c r="K37" s="11" t="n">
        <f aca="false">IF(Rates_data!S4="","",Rates_data!S4)</f>
        <v>503.18</v>
      </c>
      <c r="L37" s="11" t="n">
        <f aca="false">IF(Rates_data!T4="","",Rates_data!T4)</f>
        <v>503.18</v>
      </c>
      <c r="M37" s="11" t="n">
        <f aca="false">IF(Rates_data!U4="","",Rates_data!U4)</f>
        <v>503.18</v>
      </c>
      <c r="N37" s="14" t="str">
        <f aca="false">IF(Rates_data!V4="","",Rates_data!V4)</f>
        <v>1 through 10</v>
      </c>
      <c r="O37" s="11" t="n">
        <f aca="false">IF(Rates_data!W4="","",Rates_data!W4)</f>
        <v>503.18</v>
      </c>
      <c r="P37" s="14" t="str">
        <f aca="false">IF(Rates_data!X4="","",Rates_data!X4)</f>
        <v>median allowed</v>
      </c>
      <c r="Q37" s="11" t="n">
        <f aca="false">IF(Rates_data!AA4="","",Rates_data!AA4)</f>
        <v>135.93</v>
      </c>
      <c r="R37" s="16" t="n">
        <f aca="false">IF(Rates_data!AC4="","",Rates_data!AC4)</f>
        <v>3.85448392554992</v>
      </c>
    </row>
    <row r="38" customFormat="false" ht="15" hidden="false" customHeight="false" outlineLevel="0" collapsed="false">
      <c r="A38" s="2" t="s">
        <v>49</v>
      </c>
      <c r="B38" s="7" t="s">
        <v>39</v>
      </c>
      <c r="C38" s="7" t="s">
        <v>45</v>
      </c>
      <c r="D38" s="7" t="s">
        <v>43</v>
      </c>
      <c r="E38" s="7" t="s">
        <v>50</v>
      </c>
      <c r="F38" s="7" t="s">
        <v>126</v>
      </c>
      <c r="G38" s="7" t="s">
        <v>191</v>
      </c>
      <c r="H38" s="7" t="s">
        <v>192</v>
      </c>
      <c r="I38" s="11" t="n">
        <f aca="false">IF(Rates_data!P5="","",Rates_data!P5)</f>
        <v>781.49</v>
      </c>
      <c r="J38" s="14" t="n">
        <f aca="false">IF(Rates_data!O5="","",Rates_data!O5)</f>
        <v>79.5</v>
      </c>
      <c r="K38" s="11" t="n">
        <f aca="false">IF(Rates_data!S5="","",Rates_data!S5)</f>
        <v>750.01</v>
      </c>
      <c r="L38" s="11" t="n">
        <f aca="false">IF(Rates_data!T5="","",Rates_data!T5)</f>
        <v>503.18</v>
      </c>
      <c r="M38" s="11" t="n">
        <f aca="false">IF(Rates_data!U5="","",Rates_data!U5)</f>
        <v>750.01</v>
      </c>
      <c r="N38" s="14" t="str">
        <f aca="false">IF(Rates_data!V5="","",Rates_data!V5)</f>
        <v>17</v>
      </c>
      <c r="O38" s="11" t="n">
        <f aca="false">IF(Rates_data!W5="","",Rates_data!W5)</f>
        <v>750.01</v>
      </c>
      <c r="P38" s="14" t="str">
        <f aca="false">IF(Rates_data!X5="","",Rates_data!X5)</f>
        <v>median allowed</v>
      </c>
      <c r="Q38" s="11" t="n">
        <f aca="false">IF(Rates_data!AA5="","",Rates_data!AA5)</f>
        <v>135.93</v>
      </c>
      <c r="R38" s="16" t="n">
        <f aca="false">IF(Rates_data!AC5="","",Rates_data!AC5)</f>
        <v>5.74920915176929</v>
      </c>
    </row>
    <row r="39" customFormat="false" ht="15" hidden="false" customHeight="false" outlineLevel="0" collapsed="false">
      <c r="A39" s="2" t="s">
        <v>49</v>
      </c>
      <c r="B39" s="7" t="s">
        <v>39</v>
      </c>
      <c r="C39" s="7" t="s">
        <v>60</v>
      </c>
      <c r="D39" s="7" t="s">
        <v>43</v>
      </c>
      <c r="E39" s="7" t="s">
        <v>48</v>
      </c>
      <c r="F39" s="7" t="s">
        <v>125</v>
      </c>
      <c r="G39" s="7" t="s">
        <v>191</v>
      </c>
      <c r="H39" s="7" t="s">
        <v>192</v>
      </c>
      <c r="I39" s="11" t="n">
        <f aca="false">IF(Rates_data!P13="","",Rates_data!P13)</f>
        <v>611.88</v>
      </c>
      <c r="J39" s="14" t="n">
        <f aca="false">IF(Rates_data!O13="","",Rates_data!O13)</f>
        <v>53.3</v>
      </c>
      <c r="K39" s="11" t="n">
        <f aca="false">IF(Rates_data!S13="","",Rates_data!S13)</f>
        <v>587.66</v>
      </c>
      <c r="L39" s="11" t="n">
        <f aca="false">IF(Rates_data!T13="","",Rates_data!T13)</f>
        <v>587.66</v>
      </c>
      <c r="M39" s="11" t="n">
        <f aca="false">IF(Rates_data!U13="","",Rates_data!U13)</f>
        <v>587.66</v>
      </c>
      <c r="N39" s="14" t="str">
        <f aca="false">IF(Rates_data!V13="","",Rates_data!V13)</f>
        <v>1 through 10</v>
      </c>
      <c r="O39" s="11" t="n">
        <f aca="false">IF(Rates_data!W13="","",Rates_data!W13)</f>
        <v>587.66</v>
      </c>
      <c r="P39" s="14" t="str">
        <f aca="false">IF(Rates_data!X13="","",Rates_data!X13)</f>
        <v>median allowed</v>
      </c>
      <c r="Q39" s="11" t="n">
        <f aca="false">IF(Rates_data!AA13="","",Rates_data!AA13)</f>
        <v>369.77</v>
      </c>
      <c r="R39" s="16" t="n">
        <f aca="false">IF(Rates_data!AC13="","",Rates_data!AC13)</f>
        <v>1.65475836330692</v>
      </c>
    </row>
    <row r="40" customFormat="false" ht="15" hidden="false" customHeight="false" outlineLevel="0" collapsed="false">
      <c r="A40" s="2" t="s">
        <v>49</v>
      </c>
      <c r="B40" s="7" t="s">
        <v>39</v>
      </c>
      <c r="C40" s="7" t="s">
        <v>60</v>
      </c>
      <c r="D40" s="7" t="s">
        <v>43</v>
      </c>
      <c r="E40" s="7" t="s">
        <v>50</v>
      </c>
      <c r="F40" s="7" t="s">
        <v>126</v>
      </c>
      <c r="G40" s="7" t="s">
        <v>191</v>
      </c>
      <c r="H40" s="7" t="s">
        <v>192</v>
      </c>
      <c r="I40" s="11" t="n">
        <f aca="false">IF(Rates_data!P14="","",Rates_data!P14)</f>
        <v>912.66</v>
      </c>
      <c r="J40" s="14" t="n">
        <f aca="false">IF(Rates_data!O14="","",Rates_data!O14)</f>
        <v>79.5</v>
      </c>
      <c r="K40" s="11" t="n">
        <f aca="false">IF(Rates_data!S14="","",Rates_data!S14)</f>
        <v>875.93</v>
      </c>
      <c r="L40" s="11" t="n">
        <f aca="false">IF(Rates_data!T14="","",Rates_data!T14)</f>
        <v>587.66</v>
      </c>
      <c r="M40" s="11" t="n">
        <f aca="false">IF(Rates_data!U14="","",Rates_data!U14)</f>
        <v>875.93</v>
      </c>
      <c r="N40" s="14" t="str">
        <f aca="false">IF(Rates_data!V14="","",Rates_data!V14)</f>
        <v>18</v>
      </c>
      <c r="O40" s="11" t="n">
        <f aca="false">IF(Rates_data!W14="","",Rates_data!W14)</f>
        <v>875.93</v>
      </c>
      <c r="P40" s="14" t="str">
        <f aca="false">IF(Rates_data!X14="","",Rates_data!X14)</f>
        <v>median allowed</v>
      </c>
      <c r="Q40" s="11" t="n">
        <f aca="false">IF(Rates_data!AA14="","",Rates_data!AA14)</f>
        <v>369.77</v>
      </c>
      <c r="R40" s="16" t="n">
        <f aca="false">IF(Rates_data!AC14="","",Rates_data!AC14)</f>
        <v>2.46818292452065</v>
      </c>
    </row>
    <row r="41" customFormat="false" ht="15" hidden="false" customHeight="false" outlineLevel="0" collapsed="false">
      <c r="A41" s="2" t="s">
        <v>49</v>
      </c>
      <c r="B41" s="7" t="s">
        <v>79</v>
      </c>
      <c r="C41" s="7" t="s">
        <v>40</v>
      </c>
      <c r="D41" s="7" t="s">
        <v>43</v>
      </c>
      <c r="E41" s="7" t="s">
        <v>50</v>
      </c>
      <c r="F41" s="7" t="s">
        <v>135</v>
      </c>
      <c r="G41" s="7" t="s">
        <v>188</v>
      </c>
      <c r="H41" s="7" t="s">
        <v>192</v>
      </c>
      <c r="I41" s="11" t="n">
        <f aca="false">IF(Rates_data!P29="","",Rates_data!P29)</f>
        <v>255.58</v>
      </c>
      <c r="J41" s="14" t="n">
        <f aca="false">IF(Rates_data!O29="","",Rates_data!O29)</f>
        <v>59.3</v>
      </c>
      <c r="K41" s="11" t="n">
        <f aca="false">IF(Rates_data!S29="","",Rates_data!S29)</f>
        <v>245.53</v>
      </c>
      <c r="L41" s="11" t="n">
        <f aca="false">IF(Rates_data!T29="","",Rates_data!T29)</f>
        <v>245.53</v>
      </c>
      <c r="M41" s="11" t="n">
        <f aca="false">IF(Rates_data!U29="","",Rates_data!U29)</f>
        <v>245.53</v>
      </c>
      <c r="N41" s="14" t="str">
        <f aca="false">IF(Rates_data!V29="","",Rates_data!V29)</f>
        <v>1 through 10</v>
      </c>
      <c r="O41" s="11" t="n">
        <f aca="false">IF(Rates_data!W29="","",Rates_data!W29)</f>
        <v>245.53</v>
      </c>
      <c r="P41" s="14" t="str">
        <f aca="false">IF(Rates_data!X29="","",Rates_data!X29)</f>
        <v>median allowed</v>
      </c>
      <c r="Q41" s="11" t="n">
        <f aca="false">IF(Rates_data!AA29="","",Rates_data!AA29)</f>
        <v>185.81</v>
      </c>
      <c r="R41" s="16" t="n">
        <f aca="false">IF(Rates_data!AC29="","",Rates_data!AC29)</f>
        <v>1.37549109305204</v>
      </c>
    </row>
    <row r="42" customFormat="false" ht="15" hidden="false" customHeight="false" outlineLevel="0" collapsed="false">
      <c r="A42" s="2" t="s">
        <v>49</v>
      </c>
      <c r="B42" s="7" t="s">
        <v>79</v>
      </c>
      <c r="C42" s="7" t="s">
        <v>45</v>
      </c>
      <c r="D42" s="7" t="s">
        <v>43</v>
      </c>
      <c r="E42" s="7" t="s">
        <v>50</v>
      </c>
      <c r="F42" s="7" t="s">
        <v>135</v>
      </c>
      <c r="G42" s="7" t="s">
        <v>188</v>
      </c>
      <c r="H42" s="7" t="s">
        <v>192</v>
      </c>
      <c r="I42" s="11" t="n">
        <f aca="false">IF(Rates_data!P33="","",Rates_data!P33)</f>
        <v>412.73</v>
      </c>
      <c r="J42" s="14" t="n">
        <f aca="false">IF(Rates_data!O33="","",Rates_data!O33)</f>
        <v>59.3</v>
      </c>
      <c r="K42" s="11" t="n">
        <f aca="false">IF(Rates_data!S33="","",Rates_data!S33)</f>
        <v>396.72</v>
      </c>
      <c r="L42" s="11" t="n">
        <f aca="false">IF(Rates_data!T33="","",Rates_data!T33)</f>
        <v>396.72</v>
      </c>
      <c r="M42" s="11" t="n">
        <f aca="false">IF(Rates_data!U33="","",Rates_data!U33)</f>
        <v>396.72</v>
      </c>
      <c r="N42" s="14" t="str">
        <f aca="false">IF(Rates_data!V33="","",Rates_data!V33)</f>
        <v>15</v>
      </c>
      <c r="O42" s="11" t="n">
        <f aca="false">IF(Rates_data!W33="","",Rates_data!W33)</f>
        <v>396.72</v>
      </c>
      <c r="P42" s="14" t="str">
        <f aca="false">IF(Rates_data!X33="","",Rates_data!X33)</f>
        <v>median allowed</v>
      </c>
      <c r="Q42" s="11" t="n">
        <f aca="false">IF(Rates_data!AA33="","",Rates_data!AA33)</f>
        <v>153.08</v>
      </c>
      <c r="R42" s="16" t="n">
        <f aca="false">IF(Rates_data!AC33="","",Rates_data!AC33)</f>
        <v>2.69617193624249</v>
      </c>
    </row>
    <row r="43" customFormat="false" ht="15" hidden="false" customHeight="false" outlineLevel="0" collapsed="false">
      <c r="A43" s="2" t="s">
        <v>49</v>
      </c>
      <c r="B43" s="7" t="s">
        <v>79</v>
      </c>
      <c r="C43" s="7" t="s">
        <v>60</v>
      </c>
      <c r="D43" s="7" t="s">
        <v>43</v>
      </c>
      <c r="E43" s="7" t="s">
        <v>50</v>
      </c>
      <c r="F43" s="7" t="s">
        <v>135</v>
      </c>
      <c r="G43" s="7" t="s">
        <v>188</v>
      </c>
      <c r="H43" s="7" t="s">
        <v>192</v>
      </c>
      <c r="I43" s="11" t="n">
        <f aca="false">IF(Rates_data!P41="","",Rates_data!P41)</f>
        <v>479.74</v>
      </c>
      <c r="J43" s="14" t="n">
        <f aca="false">IF(Rates_data!O41="","",Rates_data!O41)</f>
        <v>59.3</v>
      </c>
      <c r="K43" s="11" t="n">
        <f aca="false">IF(Rates_data!S41="","",Rates_data!S41)</f>
        <v>461.18</v>
      </c>
      <c r="L43" s="11" t="n">
        <f aca="false">IF(Rates_data!T41="","",Rates_data!T41)</f>
        <v>461.18</v>
      </c>
      <c r="M43" s="11" t="n">
        <f aca="false">IF(Rates_data!U41="","",Rates_data!U41)</f>
        <v>461.18</v>
      </c>
      <c r="N43" s="14" t="str">
        <f aca="false">IF(Rates_data!V41="","",Rates_data!V41)</f>
        <v>15</v>
      </c>
      <c r="O43" s="11" t="n">
        <f aca="false">IF(Rates_data!W41="","",Rates_data!W41)</f>
        <v>461.18</v>
      </c>
      <c r="P43" s="14" t="str">
        <f aca="false">IF(Rates_data!X41="","",Rates_data!X41)</f>
        <v>median allowed</v>
      </c>
      <c r="Q43" s="11" t="n">
        <f aca="false">IF(Rates_data!AA41="","",Rates_data!AA41)</f>
        <v>369.81</v>
      </c>
      <c r="R43" s="16" t="n">
        <f aca="false">IF(Rates_data!AC41="","",Rates_data!AC41)</f>
        <v>1.29726075552311</v>
      </c>
    </row>
    <row r="44" customFormat="false" ht="15" hidden="false" customHeight="false" outlineLevel="0" collapsed="false">
      <c r="A44" s="2" t="s">
        <v>193</v>
      </c>
      <c r="B44" s="7" t="s">
        <v>39</v>
      </c>
      <c r="C44" s="7" t="s">
        <v>60</v>
      </c>
      <c r="D44" s="7" t="s">
        <v>65</v>
      </c>
      <c r="E44" s="7" t="s">
        <v>63</v>
      </c>
      <c r="F44" s="7" t="s">
        <v>162</v>
      </c>
      <c r="G44" s="7" t="s">
        <v>191</v>
      </c>
      <c r="H44" s="7" t="s">
        <v>194</v>
      </c>
      <c r="I44" s="11" t="n">
        <f aca="false">IF(Rates_data!P21="","",Rates_data!P21)</f>
        <v>369.77</v>
      </c>
      <c r="J44" s="14" t="str">
        <f aca="false">IF(Rates_data!O21="","",Rates_data!O21)</f>
        <v/>
      </c>
      <c r="K44" s="11" t="n">
        <f aca="false">IF(Rates_data!S21="","",Rates_data!S21)</f>
        <v>365.12</v>
      </c>
      <c r="L44" s="11" t="n">
        <f aca="false">IF(Rates_data!T21="","",Rates_data!T21)</f>
        <v>363.89</v>
      </c>
      <c r="M44" s="11" t="n">
        <f aca="false">IF(Rates_data!U21="","",Rates_data!U21)</f>
        <v>365.12</v>
      </c>
      <c r="N44" s="14" t="str">
        <f aca="false">IF(Rates_data!V21="","",Rates_data!V21)</f>
        <v>1 through 10</v>
      </c>
      <c r="O44" s="11" t="n">
        <f aca="false">IF(Rates_data!W21="","",Rates_data!W21)</f>
        <v>365.12</v>
      </c>
      <c r="P44" s="14" t="str">
        <f aca="false">IF(Rates_data!X21="","",Rates_data!X21)</f>
        <v>median allowed</v>
      </c>
      <c r="Q44" s="11" t="n">
        <f aca="false">IF(Rates_data!AA21="","",Rates_data!AA21)</f>
        <v>369.77</v>
      </c>
      <c r="R44" s="16" t="n">
        <f aca="false">IF(Rates_data!AC21="","",Rates_data!AC21)</f>
        <v>1</v>
      </c>
    </row>
    <row r="45" customFormat="false" ht="15" hidden="false" customHeight="false" outlineLevel="0" collapsed="false">
      <c r="A45" s="2" t="s">
        <v>195</v>
      </c>
      <c r="B45" s="7" t="s">
        <v>39</v>
      </c>
      <c r="C45" s="7" t="s">
        <v>60</v>
      </c>
      <c r="D45" s="7" t="s">
        <v>68</v>
      </c>
      <c r="E45" s="7" t="s">
        <v>66</v>
      </c>
      <c r="F45" s="7" t="s">
        <v>163</v>
      </c>
      <c r="G45" s="7" t="s">
        <v>191</v>
      </c>
      <c r="H45" s="7" t="s">
        <v>194</v>
      </c>
      <c r="I45" s="11" t="n">
        <f aca="false">IF(Rates_data!P22="","",Rates_data!P22)</f>
        <v>369.77</v>
      </c>
      <c r="J45" s="14" t="str">
        <f aca="false">IF(Rates_data!O22="","",Rates_data!O22)</f>
        <v/>
      </c>
      <c r="K45" s="11" t="n">
        <f aca="false">IF(Rates_data!S22="","",Rates_data!S22)</f>
        <v>363.89</v>
      </c>
      <c r="L45" s="11" t="n">
        <f aca="false">IF(Rates_data!T22="","",Rates_data!T22)</f>
        <v>363.89</v>
      </c>
      <c r="M45" s="11" t="n">
        <f aca="false">IF(Rates_data!U22="","",Rates_data!U22)</f>
        <v>369.81</v>
      </c>
      <c r="N45" s="14" t="str">
        <f aca="false">IF(Rates_data!V22="","",Rates_data!V22)</f>
        <v>1 through 10</v>
      </c>
      <c r="O45" s="11" t="n">
        <f aca="false">IF(Rates_data!W22="","",Rates_data!W22)</f>
        <v>363.89</v>
      </c>
      <c r="P45" s="14" t="str">
        <f aca="false">IF(Rates_data!X22="","",Rates_data!X22)</f>
        <v>median allowed</v>
      </c>
      <c r="Q45" s="11" t="n">
        <f aca="false">IF(Rates_data!AA22="","",Rates_data!AA22)</f>
        <v>369.77</v>
      </c>
      <c r="R45" s="16" t="n">
        <f aca="false">IF(Rates_data!AC22="","",Rates_data!AC22)</f>
        <v>1</v>
      </c>
    </row>
    <row r="46" customFormat="false" ht="15" hidden="false" customHeight="false" outlineLevel="0" collapsed="false">
      <c r="A46" s="2" t="s">
        <v>195</v>
      </c>
      <c r="B46" s="7" t="s">
        <v>39</v>
      </c>
      <c r="C46" s="7" t="s">
        <v>60</v>
      </c>
      <c r="D46" s="7" t="s">
        <v>68</v>
      </c>
      <c r="E46" s="7" t="s">
        <v>69</v>
      </c>
      <c r="F46" s="7" t="s">
        <v>163</v>
      </c>
      <c r="G46" s="7" t="s">
        <v>191</v>
      </c>
      <c r="H46" s="7" t="s">
        <v>194</v>
      </c>
      <c r="I46" s="11" t="n">
        <f aca="false">IF(Rates_data!P23="","",Rates_data!P23)</f>
        <v>369.77</v>
      </c>
      <c r="J46" s="14" t="str">
        <f aca="false">IF(Rates_data!O23="","",Rates_data!O23)</f>
        <v/>
      </c>
      <c r="K46" s="11" t="n">
        <f aca="false">IF(Rates_data!S23="","",Rates_data!S23)</f>
        <v>365.37</v>
      </c>
      <c r="L46" s="11" t="n">
        <f aca="false">IF(Rates_data!T23="","",Rates_data!T23)</f>
        <v>365.37</v>
      </c>
      <c r="M46" s="11" t="n">
        <f aca="false">IF(Rates_data!U23="","",Rates_data!U23)</f>
        <v>365.37</v>
      </c>
      <c r="N46" s="14" t="str">
        <f aca="false">IF(Rates_data!V23="","",Rates_data!V23)</f>
        <v>1 through 10</v>
      </c>
      <c r="O46" s="11" t="n">
        <f aca="false">IF(Rates_data!W23="","",Rates_data!W23)</f>
        <v>365.37</v>
      </c>
      <c r="P46" s="14" t="str">
        <f aca="false">IF(Rates_data!X23="","",Rates_data!X23)</f>
        <v>median allowed</v>
      </c>
      <c r="Q46" s="11" t="n">
        <f aca="false">IF(Rates_data!AA23="","",Rates_data!AA23)</f>
        <v>369.77</v>
      </c>
      <c r="R46" s="16" t="n">
        <f aca="false">IF(Rates_data!AC23="","",Rates_data!AC23)</f>
        <v>1</v>
      </c>
    </row>
    <row r="47" customFormat="false" ht="15" hidden="false" customHeight="false" outlineLevel="0" collapsed="false">
      <c r="A47" s="2" t="s">
        <v>195</v>
      </c>
      <c r="B47" s="7" t="s">
        <v>39</v>
      </c>
      <c r="C47" s="7" t="s">
        <v>60</v>
      </c>
      <c r="D47" s="7" t="s">
        <v>68</v>
      </c>
      <c r="E47" s="7" t="s">
        <v>54</v>
      </c>
      <c r="F47" s="7" t="s">
        <v>163</v>
      </c>
      <c r="G47" s="7" t="s">
        <v>191</v>
      </c>
      <c r="H47" s="7" t="s">
        <v>194</v>
      </c>
      <c r="I47" s="11" t="n">
        <f aca="false">IF(Rates_data!P24="","",Rates_data!P24)</f>
        <v>369.77</v>
      </c>
      <c r="J47" s="14" t="str">
        <f aca="false">IF(Rates_data!O24="","",Rates_data!O24)</f>
        <v/>
      </c>
      <c r="K47" s="11" t="n">
        <f aca="false">IF(Rates_data!S24="","",Rates_data!S24)</f>
        <v>336.12</v>
      </c>
      <c r="L47" s="11" t="n">
        <f aca="false">IF(Rates_data!T24="","",Rates_data!T24)</f>
        <v>336.12</v>
      </c>
      <c r="M47" s="11" t="n">
        <f aca="false">IF(Rates_data!U24="","",Rates_data!U24)</f>
        <v>336.12</v>
      </c>
      <c r="N47" s="14" t="str">
        <f aca="false">IF(Rates_data!V24="","",Rates_data!V24)</f>
        <v>1 through 10</v>
      </c>
      <c r="O47" s="11" t="n">
        <f aca="false">IF(Rates_data!W24="","",Rates_data!W24)</f>
        <v>336.12</v>
      </c>
      <c r="P47" s="14" t="str">
        <f aca="false">IF(Rates_data!X24="","",Rates_data!X24)</f>
        <v>median allowed</v>
      </c>
      <c r="Q47" s="11" t="n">
        <f aca="false">IF(Rates_data!AA24="","",Rates_data!AA24)</f>
        <v>369.77</v>
      </c>
      <c r="R47" s="16" t="n">
        <f aca="false">IF(Rates_data!AC24="","",Rates_data!AC24)</f>
        <v>1</v>
      </c>
    </row>
    <row r="48" customFormat="false" ht="15" hidden="false" customHeight="false" outlineLevel="0" collapsed="false">
      <c r="A48" s="2" t="s">
        <v>195</v>
      </c>
      <c r="B48" s="7" t="s">
        <v>39</v>
      </c>
      <c r="C48" s="7" t="s">
        <v>60</v>
      </c>
      <c r="D48" s="7" t="s">
        <v>68</v>
      </c>
      <c r="E48" s="7" t="s">
        <v>71</v>
      </c>
      <c r="F48" s="7" t="s">
        <v>164</v>
      </c>
      <c r="G48" s="7" t="s">
        <v>191</v>
      </c>
      <c r="H48" s="7" t="s">
        <v>194</v>
      </c>
      <c r="I48" s="11" t="n">
        <f aca="false">IF(Rates_data!P25="","",Rates_data!P25)</f>
        <v>362.37</v>
      </c>
      <c r="J48" s="14" t="str">
        <f aca="false">IF(Rates_data!O25="","",Rates_data!O25)</f>
        <v/>
      </c>
      <c r="K48" s="11" t="n">
        <f aca="false">IF(Rates_data!S25="","",Rates_data!S25)</f>
        <v>362.81</v>
      </c>
      <c r="L48" s="11" t="n">
        <f aca="false">IF(Rates_data!T25="","",Rates_data!T25)</f>
        <v>335.92</v>
      </c>
      <c r="M48" s="11" t="n">
        <f aca="false">IF(Rates_data!U25="","",Rates_data!U25)</f>
        <v>362.81</v>
      </c>
      <c r="N48" s="14" t="str">
        <f aca="false">IF(Rates_data!V25="","",Rates_data!V25)</f>
        <v>1 through 10</v>
      </c>
      <c r="O48" s="11" t="n">
        <f aca="false">IF(Rates_data!W25="","",Rates_data!W25)</f>
        <v>362.81</v>
      </c>
      <c r="P48" s="14" t="str">
        <f aca="false">IF(Rates_data!X25="","",Rates_data!X25)</f>
        <v>median allowed</v>
      </c>
      <c r="Q48" s="11" t="n">
        <f aca="false">IF(Rates_data!AA25="","",Rates_data!AA25)</f>
        <v>369.77</v>
      </c>
      <c r="R48" s="16" t="n">
        <f aca="false">IF(Rates_data!AC25="","",Rates_data!AC25)</f>
        <v>0.979987559834492</v>
      </c>
    </row>
    <row r="49" customFormat="false" ht="15" hidden="false" customHeight="false" outlineLevel="0" collapsed="false">
      <c r="A49" s="2" t="s">
        <v>195</v>
      </c>
      <c r="B49" s="7" t="s">
        <v>39</v>
      </c>
      <c r="C49" s="7" t="s">
        <v>60</v>
      </c>
      <c r="D49" s="7" t="s">
        <v>68</v>
      </c>
      <c r="E49" s="7" t="s">
        <v>41</v>
      </c>
      <c r="F49" s="7" t="s">
        <v>165</v>
      </c>
      <c r="G49" s="7" t="s">
        <v>191</v>
      </c>
      <c r="H49" s="7" t="s">
        <v>194</v>
      </c>
      <c r="I49" s="11" t="n">
        <f aca="false">IF(Rates_data!P26="","",Rates_data!P26)</f>
        <v>362.37</v>
      </c>
      <c r="J49" s="14" t="str">
        <f aca="false">IF(Rates_data!O26="","",Rates_data!O26)</f>
        <v/>
      </c>
      <c r="K49" s="11" t="n">
        <f aca="false">IF(Rates_data!S26="","",Rates_data!S26)</f>
        <v>362.92</v>
      </c>
      <c r="L49" s="11" t="n">
        <f aca="false">IF(Rates_data!T26="","",Rates_data!T26)</f>
        <v>362.41</v>
      </c>
      <c r="M49" s="11" t="n">
        <f aca="false">IF(Rates_data!U26="","",Rates_data!U26)</f>
        <v>369.81</v>
      </c>
      <c r="N49" s="14" t="str">
        <f aca="false">IF(Rates_data!V26="","",Rates_data!V26)</f>
        <v>1 through 10</v>
      </c>
      <c r="O49" s="11" t="n">
        <f aca="false">IF(Rates_data!W26="","",Rates_data!W26)</f>
        <v>362.92</v>
      </c>
      <c r="P49" s="14" t="str">
        <f aca="false">IF(Rates_data!X26="","",Rates_data!X26)</f>
        <v>median allowed</v>
      </c>
      <c r="Q49" s="11" t="n">
        <f aca="false">IF(Rates_data!AA26="","",Rates_data!AA26)</f>
        <v>369.77</v>
      </c>
      <c r="R49" s="16" t="n">
        <f aca="false">IF(Rates_data!AC26="","",Rates_data!AC26)</f>
        <v>0.979987559834492</v>
      </c>
    </row>
    <row r="50" customFormat="false" ht="15" hidden="false" customHeight="false" outlineLevel="0" collapsed="false">
      <c r="A50" s="2" t="s">
        <v>195</v>
      </c>
      <c r="B50" s="7" t="s">
        <v>79</v>
      </c>
      <c r="C50" s="7" t="s">
        <v>40</v>
      </c>
      <c r="D50" s="7" t="s">
        <v>68</v>
      </c>
      <c r="E50" s="7" t="s">
        <v>41</v>
      </c>
      <c r="F50" s="7" t="s">
        <v>167</v>
      </c>
      <c r="G50" s="7" t="s">
        <v>191</v>
      </c>
      <c r="H50" s="7" t="s">
        <v>194</v>
      </c>
      <c r="I50" s="11" t="n">
        <f aca="false">IF(Rates_data!P31="","",Rates_data!P31)</f>
        <v>182.09</v>
      </c>
      <c r="J50" s="14" t="str">
        <f aca="false">IF(Rates_data!O31="","",Rates_data!O31)</f>
        <v/>
      </c>
      <c r="K50" s="11" t="n">
        <f aca="false">IF(Rates_data!S31="","",Rates_data!S31)</f>
        <v>182.84</v>
      </c>
      <c r="L50" s="11" t="n">
        <f aca="false">IF(Rates_data!T31="","",Rates_data!T31)</f>
        <v>182.1</v>
      </c>
      <c r="M50" s="11" t="n">
        <f aca="false">IF(Rates_data!U31="","",Rates_data!U31)</f>
        <v>183.1</v>
      </c>
      <c r="N50" s="14" t="str">
        <f aca="false">IF(Rates_data!V31="","",Rates_data!V31)</f>
        <v>1 through 10</v>
      </c>
      <c r="O50" s="11" t="n">
        <f aca="false">IF(Rates_data!W31="","",Rates_data!W31)</f>
        <v>182.84</v>
      </c>
      <c r="P50" s="14" t="str">
        <f aca="false">IF(Rates_data!X31="","",Rates_data!X31)</f>
        <v>median allowed</v>
      </c>
      <c r="Q50" s="11" t="n">
        <f aca="false">IF(Rates_data!AA31="","",Rates_data!AA31)</f>
        <v>185.81</v>
      </c>
      <c r="R50" s="16" t="n">
        <f aca="false">IF(Rates_data!AC31="","",Rates_data!AC31)</f>
        <v>0.979979549001668</v>
      </c>
    </row>
    <row r="51" customFormat="false" ht="15" hidden="false" customHeight="false" outlineLevel="0" collapsed="false">
      <c r="A51" s="2" t="s">
        <v>195</v>
      </c>
      <c r="B51" s="7" t="s">
        <v>79</v>
      </c>
      <c r="C51" s="7" t="s">
        <v>45</v>
      </c>
      <c r="D51" s="7" t="s">
        <v>68</v>
      </c>
      <c r="E51" s="7" t="s">
        <v>66</v>
      </c>
      <c r="F51" s="7" t="s">
        <v>139</v>
      </c>
      <c r="G51" s="7" t="s">
        <v>191</v>
      </c>
      <c r="H51" s="7" t="s">
        <v>194</v>
      </c>
      <c r="I51" s="11" t="n">
        <f aca="false">IF(Rates_data!P38="","",Rates_data!P38)</f>
        <v>153.08</v>
      </c>
      <c r="J51" s="14" t="str">
        <f aca="false">IF(Rates_data!O38="","",Rates_data!O38)</f>
        <v/>
      </c>
      <c r="K51" s="11" t="n">
        <f aca="false">IF(Rates_data!S38="","",Rates_data!S38)</f>
        <v>171.01</v>
      </c>
      <c r="L51" s="11" t="n">
        <f aca="false">IF(Rates_data!T38="","",Rates_data!T38)</f>
        <v>132.59</v>
      </c>
      <c r="M51" s="11" t="n">
        <f aca="false">IF(Rates_data!U38="","",Rates_data!U38)</f>
        <v>171.01</v>
      </c>
      <c r="N51" s="14" t="str">
        <f aca="false">IF(Rates_data!V38="","",Rates_data!V38)</f>
        <v>1 through 10</v>
      </c>
      <c r="O51" s="11" t="n">
        <f aca="false">IF(Rates_data!W38="","",Rates_data!W38)</f>
        <v>171.01</v>
      </c>
      <c r="P51" s="14" t="str">
        <f aca="false">IF(Rates_data!X38="","",Rates_data!X38)</f>
        <v>median allowed</v>
      </c>
      <c r="Q51" s="11" t="n">
        <f aca="false">IF(Rates_data!AA38="","",Rates_data!AA38)</f>
        <v>153.08</v>
      </c>
      <c r="R51" s="16" t="n">
        <f aca="false">IF(Rates_data!AC38="","",Rates_data!AC38)</f>
        <v>1</v>
      </c>
    </row>
    <row r="52" customFormat="false" ht="15" hidden="false" customHeight="false" outlineLevel="0" collapsed="false">
      <c r="A52" s="2" t="s">
        <v>195</v>
      </c>
      <c r="B52" s="7" t="s">
        <v>79</v>
      </c>
      <c r="C52" s="7" t="s">
        <v>45</v>
      </c>
      <c r="D52" s="7" t="s">
        <v>68</v>
      </c>
      <c r="E52" s="7" t="s">
        <v>84</v>
      </c>
      <c r="F52" s="7" t="s">
        <v>139</v>
      </c>
      <c r="G52" s="7" t="s">
        <v>191</v>
      </c>
      <c r="H52" s="7" t="s">
        <v>194</v>
      </c>
      <c r="I52" s="11" t="n">
        <f aca="false">IF(Rates_data!P39="","",Rates_data!P39)</f>
        <v>153.08</v>
      </c>
      <c r="J52" s="14" t="str">
        <f aca="false">IF(Rates_data!O39="","",Rates_data!O39)</f>
        <v/>
      </c>
      <c r="K52" s="11" t="n">
        <f aca="false">IF(Rates_data!S39="","",Rates_data!S39)</f>
        <v>168.27</v>
      </c>
      <c r="L52" s="11" t="n">
        <f aca="false">IF(Rates_data!T39="","",Rates_data!T39)</f>
        <v>168.27</v>
      </c>
      <c r="M52" s="11" t="n">
        <f aca="false">IF(Rates_data!U39="","",Rates_data!U39)</f>
        <v>168.27</v>
      </c>
      <c r="N52" s="14" t="str">
        <f aca="false">IF(Rates_data!V39="","",Rates_data!V39)</f>
        <v>1 through 10</v>
      </c>
      <c r="O52" s="11" t="n">
        <f aca="false">IF(Rates_data!W39="","",Rates_data!W39)</f>
        <v>168.27</v>
      </c>
      <c r="P52" s="14" t="str">
        <f aca="false">IF(Rates_data!X39="","",Rates_data!X39)</f>
        <v>median allowed</v>
      </c>
      <c r="Q52" s="11" t="n">
        <f aca="false">IF(Rates_data!AA39="","",Rates_data!AA39)</f>
        <v>153.08</v>
      </c>
      <c r="R52" s="16" t="n">
        <f aca="false">IF(Rates_data!AC39="","",Rates_data!AC39)</f>
        <v>1</v>
      </c>
    </row>
    <row r="53" customFormat="false" ht="15" hidden="false" customHeight="false" outlineLevel="0" collapsed="false">
      <c r="A53" s="2" t="s">
        <v>195</v>
      </c>
      <c r="B53" s="7" t="s">
        <v>79</v>
      </c>
      <c r="C53" s="7" t="s">
        <v>60</v>
      </c>
      <c r="D53" s="7" t="s">
        <v>68</v>
      </c>
      <c r="E53" s="7" t="s">
        <v>66</v>
      </c>
      <c r="F53" s="7" t="s">
        <v>139</v>
      </c>
      <c r="G53" s="7" t="s">
        <v>191</v>
      </c>
      <c r="H53" s="7" t="s">
        <v>194</v>
      </c>
      <c r="I53" s="11" t="n">
        <f aca="false">IF(Rates_data!P46="","",Rates_data!P46)</f>
        <v>369.81</v>
      </c>
      <c r="J53" s="14" t="str">
        <f aca="false">IF(Rates_data!O46="","",Rates_data!O46)</f>
        <v/>
      </c>
      <c r="K53" s="11" t="n">
        <f aca="false">IF(Rates_data!S46="","",Rates_data!S46)</f>
        <v>363.89</v>
      </c>
      <c r="L53" s="11" t="n">
        <f aca="false">IF(Rates_data!T46="","",Rates_data!T46)</f>
        <v>154.13</v>
      </c>
      <c r="M53" s="11" t="n">
        <f aca="false">IF(Rates_data!U46="","",Rates_data!U46)</f>
        <v>363.89</v>
      </c>
      <c r="N53" s="14" t="str">
        <f aca="false">IF(Rates_data!V46="","",Rates_data!V46)</f>
        <v>1 through 10</v>
      </c>
      <c r="O53" s="11" t="n">
        <f aca="false">IF(Rates_data!W46="","",Rates_data!W46)</f>
        <v>363.89</v>
      </c>
      <c r="P53" s="14" t="str">
        <f aca="false">IF(Rates_data!X46="","",Rates_data!X46)</f>
        <v>median allowed</v>
      </c>
      <c r="Q53" s="11" t="n">
        <f aca="false">IF(Rates_data!AA46="","",Rates_data!AA46)</f>
        <v>369.81</v>
      </c>
      <c r="R53" s="16" t="n">
        <f aca="false">IF(Rates_data!AC46="","",Rates_data!AC46)</f>
        <v>1</v>
      </c>
    </row>
    <row r="54" customFormat="false" ht="15" hidden="false" customHeight="false" outlineLevel="0" collapsed="false">
      <c r="A54" s="2" t="s">
        <v>195</v>
      </c>
      <c r="B54" s="7" t="s">
        <v>79</v>
      </c>
      <c r="C54" s="7" t="s">
        <v>60</v>
      </c>
      <c r="D54" s="7" t="s">
        <v>68</v>
      </c>
      <c r="E54" s="7" t="s">
        <v>84</v>
      </c>
      <c r="F54" s="7" t="s">
        <v>139</v>
      </c>
      <c r="G54" s="7" t="s">
        <v>191</v>
      </c>
      <c r="H54" s="7" t="s">
        <v>194</v>
      </c>
      <c r="I54" s="11" t="n">
        <f aca="false">IF(Rates_data!P47="","",Rates_data!P47)</f>
        <v>369.81</v>
      </c>
      <c r="J54" s="14" t="str">
        <f aca="false">IF(Rates_data!O47="","",Rates_data!O47)</f>
        <v/>
      </c>
      <c r="K54" s="11" t="n">
        <f aca="false">IF(Rates_data!S47="","",Rates_data!S47)</f>
        <v>366.63</v>
      </c>
      <c r="L54" s="11" t="n">
        <f aca="false">IF(Rates_data!T47="","",Rates_data!T47)</f>
        <v>366.63</v>
      </c>
      <c r="M54" s="11" t="n">
        <f aca="false">IF(Rates_data!U47="","",Rates_data!U47)</f>
        <v>366.63</v>
      </c>
      <c r="N54" s="14" t="str">
        <f aca="false">IF(Rates_data!V47="","",Rates_data!V47)</f>
        <v>1 through 10</v>
      </c>
      <c r="O54" s="11" t="n">
        <f aca="false">IF(Rates_data!W47="","",Rates_data!W47)</f>
        <v>366.63</v>
      </c>
      <c r="P54" s="14" t="str">
        <f aca="false">IF(Rates_data!X47="","",Rates_data!X47)</f>
        <v>median allowed</v>
      </c>
      <c r="Q54" s="11" t="n">
        <f aca="false">IF(Rates_data!AA47="","",Rates_data!AA47)</f>
        <v>369.81</v>
      </c>
      <c r="R54" s="16" t="n">
        <f aca="false">IF(Rates_data!AC47="","",Rates_data!AC47)</f>
        <v>1</v>
      </c>
    </row>
    <row r="55" customFormat="false" ht="15" hidden="false" customHeight="false" outlineLevel="0" collapsed="false">
      <c r="A55" s="2" t="s">
        <v>195</v>
      </c>
      <c r="B55" s="7" t="s">
        <v>79</v>
      </c>
      <c r="C55" s="7" t="s">
        <v>60</v>
      </c>
      <c r="D55" s="7" t="s">
        <v>68</v>
      </c>
      <c r="E55" s="7" t="s">
        <v>63</v>
      </c>
      <c r="F55" s="7" t="s">
        <v>168</v>
      </c>
      <c r="G55" s="7" t="s">
        <v>191</v>
      </c>
      <c r="H55" s="7" t="s">
        <v>194</v>
      </c>
      <c r="I55" s="11" t="n">
        <f aca="false">IF(Rates_data!P48="","",Rates_data!P48)</f>
        <v>362.41</v>
      </c>
      <c r="J55" s="14" t="str">
        <f aca="false">IF(Rates_data!O48="","",Rates_data!O48)</f>
        <v/>
      </c>
      <c r="K55" s="11" t="n">
        <f aca="false">IF(Rates_data!S48="","",Rates_data!S48)</f>
        <v>363.89</v>
      </c>
      <c r="L55" s="11" t="n">
        <f aca="false">IF(Rates_data!T48="","",Rates_data!T48)</f>
        <v>363.89</v>
      </c>
      <c r="M55" s="11" t="n">
        <f aca="false">IF(Rates_data!U48="","",Rates_data!U48)</f>
        <v>363.89</v>
      </c>
      <c r="N55" s="14" t="str">
        <f aca="false">IF(Rates_data!V48="","",Rates_data!V48)</f>
        <v>1 through 10</v>
      </c>
      <c r="O55" s="11" t="n">
        <f aca="false">IF(Rates_data!W48="","",Rates_data!W48)</f>
        <v>363.89</v>
      </c>
      <c r="P55" s="14" t="str">
        <f aca="false">IF(Rates_data!X48="","",Rates_data!X48)</f>
        <v>median allowed</v>
      </c>
      <c r="Q55" s="11" t="n">
        <f aca="false">IF(Rates_data!AA48="","",Rates_data!AA48)</f>
        <v>369.81</v>
      </c>
      <c r="R55" s="16" t="n">
        <f aca="false">IF(Rates_data!AC48="","",Rates_data!AC48)</f>
        <v>0.979989724453098</v>
      </c>
    </row>
    <row r="56" customFormat="false" ht="15" hidden="false" customHeight="false" outlineLevel="0" collapsed="false">
      <c r="A56" s="2" t="s">
        <v>195</v>
      </c>
      <c r="B56" s="7" t="s">
        <v>79</v>
      </c>
      <c r="C56" s="7" t="s">
        <v>60</v>
      </c>
      <c r="D56" s="7" t="s">
        <v>68</v>
      </c>
      <c r="E56" s="7" t="s">
        <v>69</v>
      </c>
      <c r="F56" s="7" t="s">
        <v>139</v>
      </c>
      <c r="G56" s="7" t="s">
        <v>191</v>
      </c>
      <c r="H56" s="7" t="s">
        <v>194</v>
      </c>
      <c r="I56" s="11" t="n">
        <f aca="false">IF(Rates_data!P49="","",Rates_data!P49)</f>
        <v>369.81</v>
      </c>
      <c r="J56" s="14" t="str">
        <f aca="false">IF(Rates_data!O49="","",Rates_data!O49)</f>
        <v/>
      </c>
      <c r="K56" s="11" t="n">
        <f aca="false">IF(Rates_data!S49="","",Rates_data!S49)</f>
        <v>362.41</v>
      </c>
      <c r="L56" s="11" t="n">
        <f aca="false">IF(Rates_data!T49="","",Rates_data!T49)</f>
        <v>362.41</v>
      </c>
      <c r="M56" s="11" t="n">
        <f aca="false">IF(Rates_data!U49="","",Rates_data!U49)</f>
        <v>362.41</v>
      </c>
      <c r="N56" s="14" t="str">
        <f aca="false">IF(Rates_data!V49="","",Rates_data!V49)</f>
        <v>1 through 10</v>
      </c>
      <c r="O56" s="11" t="n">
        <f aca="false">IF(Rates_data!W49="","",Rates_data!W49)</f>
        <v>362.41</v>
      </c>
      <c r="P56" s="14" t="str">
        <f aca="false">IF(Rates_data!X49="","",Rates_data!X49)</f>
        <v>median allowed</v>
      </c>
      <c r="Q56" s="11" t="n">
        <f aca="false">IF(Rates_data!AA49="","",Rates_data!AA49)</f>
        <v>369.81</v>
      </c>
      <c r="R56" s="16" t="n">
        <f aca="false">IF(Rates_data!AC49="","",Rates_data!AC49)</f>
        <v>1</v>
      </c>
    </row>
    <row r="57" customFormat="false" ht="15" hidden="false" customHeight="false" outlineLevel="0" collapsed="false">
      <c r="A57" s="2" t="s">
        <v>195</v>
      </c>
      <c r="B57" s="7" t="s">
        <v>79</v>
      </c>
      <c r="C57" s="7" t="s">
        <v>60</v>
      </c>
      <c r="D57" s="7" t="s">
        <v>68</v>
      </c>
      <c r="E57" s="7" t="s">
        <v>88</v>
      </c>
      <c r="F57" s="7" t="s">
        <v>139</v>
      </c>
      <c r="G57" s="7" t="s">
        <v>191</v>
      </c>
      <c r="H57" s="7" t="s">
        <v>194</v>
      </c>
      <c r="I57" s="11" t="n">
        <f aca="false">IF(Rates_data!P50="","",Rates_data!P50)</f>
        <v>369.81</v>
      </c>
      <c r="J57" s="14" t="str">
        <f aca="false">IF(Rates_data!O50="","",Rates_data!O50)</f>
        <v/>
      </c>
      <c r="K57" s="11" t="n">
        <f aca="false">IF(Rates_data!S50="","",Rates_data!S50)</f>
        <v>363.89</v>
      </c>
      <c r="L57" s="11" t="n">
        <f aca="false">IF(Rates_data!T50="","",Rates_data!T50)</f>
        <v>363.89</v>
      </c>
      <c r="M57" s="11" t="n">
        <f aca="false">IF(Rates_data!U50="","",Rates_data!U50)</f>
        <v>363.89</v>
      </c>
      <c r="N57" s="14" t="str">
        <f aca="false">IF(Rates_data!V50="","",Rates_data!V50)</f>
        <v>1 through 10</v>
      </c>
      <c r="O57" s="11" t="n">
        <f aca="false">IF(Rates_data!W50="","",Rates_data!W50)</f>
        <v>363.89</v>
      </c>
      <c r="P57" s="14" t="str">
        <f aca="false">IF(Rates_data!X50="","",Rates_data!X50)</f>
        <v>median allowed</v>
      </c>
      <c r="Q57" s="11" t="n">
        <f aca="false">IF(Rates_data!AA50="","",Rates_data!AA50)</f>
        <v>369.81</v>
      </c>
      <c r="R57" s="16" t="n">
        <f aca="false">IF(Rates_data!AC50="","",Rates_data!AC50)</f>
        <v>1</v>
      </c>
    </row>
    <row r="58" customFormat="false" ht="15" hidden="false" customHeight="false" outlineLevel="0" collapsed="false">
      <c r="A58" s="2" t="s">
        <v>195</v>
      </c>
      <c r="B58" s="7" t="s">
        <v>79</v>
      </c>
      <c r="C58" s="7" t="s">
        <v>60</v>
      </c>
      <c r="D58" s="7" t="s">
        <v>68</v>
      </c>
      <c r="E58" s="7" t="s">
        <v>71</v>
      </c>
      <c r="F58" s="7" t="s">
        <v>168</v>
      </c>
      <c r="G58" s="7" t="s">
        <v>191</v>
      </c>
      <c r="H58" s="7" t="s">
        <v>194</v>
      </c>
      <c r="I58" s="11" t="n">
        <f aca="false">IF(Rates_data!P51="","",Rates_data!P51)</f>
        <v>362.41</v>
      </c>
      <c r="J58" s="14" t="str">
        <f aca="false">IF(Rates_data!O51="","",Rates_data!O51)</f>
        <v/>
      </c>
      <c r="K58" s="11" t="n">
        <f aca="false">IF(Rates_data!S51="","",Rates_data!S51)</f>
        <v>362.81</v>
      </c>
      <c r="L58" s="11" t="n">
        <f aca="false">IF(Rates_data!T51="","",Rates_data!T51)</f>
        <v>362.61</v>
      </c>
      <c r="M58" s="11" t="n">
        <f aca="false">IF(Rates_data!U51="","",Rates_data!U51)</f>
        <v>363.01</v>
      </c>
      <c r="N58" s="14" t="str">
        <f aca="false">IF(Rates_data!V51="","",Rates_data!V51)</f>
        <v>1 through 10</v>
      </c>
      <c r="O58" s="11" t="n">
        <f aca="false">IF(Rates_data!W51="","",Rates_data!W51)</f>
        <v>362.81</v>
      </c>
      <c r="P58" s="14" t="str">
        <f aca="false">IF(Rates_data!X51="","",Rates_data!X51)</f>
        <v>median allowed</v>
      </c>
      <c r="Q58" s="11" t="n">
        <f aca="false">IF(Rates_data!AA51="","",Rates_data!AA51)</f>
        <v>369.81</v>
      </c>
      <c r="R58" s="16" t="n">
        <f aca="false">IF(Rates_data!AC51="","",Rates_data!AC51)</f>
        <v>0.979989724453098</v>
      </c>
    </row>
    <row r="59" customFormat="false" ht="15" hidden="false" customHeight="false" outlineLevel="0" collapsed="false">
      <c r="A59" s="2" t="s">
        <v>195</v>
      </c>
      <c r="B59" s="7" t="s">
        <v>79</v>
      </c>
      <c r="C59" s="7" t="s">
        <v>60</v>
      </c>
      <c r="D59" s="7" t="s">
        <v>68</v>
      </c>
      <c r="E59" s="7" t="s">
        <v>41</v>
      </c>
      <c r="F59" s="7" t="s">
        <v>167</v>
      </c>
      <c r="G59" s="7" t="s">
        <v>191</v>
      </c>
      <c r="H59" s="7" t="s">
        <v>194</v>
      </c>
      <c r="I59" s="11" t="n">
        <f aca="false">IF(Rates_data!P52="","",Rates_data!P52)</f>
        <v>362.41</v>
      </c>
      <c r="J59" s="14" t="str">
        <f aca="false">IF(Rates_data!O52="","",Rates_data!O52)</f>
        <v/>
      </c>
      <c r="K59" s="11" t="n">
        <f aca="false">IF(Rates_data!S52="","",Rates_data!S52)</f>
        <v>362.92</v>
      </c>
      <c r="L59" s="11" t="n">
        <f aca="false">IF(Rates_data!T52="","",Rates_data!T52)</f>
        <v>337.09</v>
      </c>
      <c r="M59" s="11" t="n">
        <f aca="false">IF(Rates_data!U52="","",Rates_data!U52)</f>
        <v>363.42</v>
      </c>
      <c r="N59" s="14" t="str">
        <f aca="false">IF(Rates_data!V52="","",Rates_data!V52)</f>
        <v>12</v>
      </c>
      <c r="O59" s="11" t="n">
        <f aca="false">IF(Rates_data!W52="","",Rates_data!W52)</f>
        <v>362.92</v>
      </c>
      <c r="P59" s="14" t="str">
        <f aca="false">IF(Rates_data!X52="","",Rates_data!X52)</f>
        <v>median allowed</v>
      </c>
      <c r="Q59" s="11" t="n">
        <f aca="false">IF(Rates_data!AA52="","",Rates_data!AA52)</f>
        <v>369.81</v>
      </c>
      <c r="R59" s="16" t="n">
        <f aca="false">IF(Rates_data!AC52="","",Rates_data!AC52)</f>
        <v>0.979989724453098</v>
      </c>
    </row>
  </sheetData>
  <autoFilter ref="A4:R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32"/>
    <col collapsed="false" customWidth="true" hidden="false" outlineLevel="0" max="12" min="3" style="0" width="13"/>
  </cols>
  <sheetData>
    <row r="1" customFormat="false" ht="16.15" hidden="false" customHeight="false" outlineLevel="0" collapsed="false">
      <c r="A1" s="1" t="s">
        <v>196</v>
      </c>
    </row>
    <row r="2" customFormat="false" ht="15" hidden="false" customHeight="false" outlineLevel="0" collapsed="false">
      <c r="A2" s="5" t="s">
        <v>197</v>
      </c>
    </row>
    <row r="4" customFormat="false" ht="30" hidden="false" customHeight="true" outlineLevel="0" collapsed="false">
      <c r="A4" s="6" t="s">
        <v>198</v>
      </c>
      <c r="B4" s="6" t="s">
        <v>199</v>
      </c>
      <c r="C4" s="6" t="s">
        <v>200</v>
      </c>
      <c r="D4" s="6" t="s">
        <v>201</v>
      </c>
      <c r="E4" s="6" t="s">
        <v>202</v>
      </c>
      <c r="F4" s="6" t="s">
        <v>203</v>
      </c>
      <c r="G4" s="6" t="s">
        <v>204</v>
      </c>
      <c r="H4" s="6" t="s">
        <v>205</v>
      </c>
      <c r="I4" s="6" t="s">
        <v>206</v>
      </c>
      <c r="J4" s="6" t="s">
        <v>207</v>
      </c>
      <c r="K4" s="6" t="s">
        <v>208</v>
      </c>
      <c r="L4" s="6" t="s">
        <v>209</v>
      </c>
    </row>
    <row r="5" customFormat="false" ht="15" hidden="false" customHeight="false" outlineLevel="0" collapsed="false">
      <c r="A5" s="2" t="s">
        <v>187</v>
      </c>
      <c r="B5" s="7" t="s">
        <v>210</v>
      </c>
      <c r="C5" s="7" t="str">
        <f aca="false">IF(COUNTIFS(Rates_data!$B$2:$B$75,"Massachusetts General Hospital",Rates_data!$D$2:$D$75,"95923",Rates_data!$Y$2:$Y$75,1,Rates_data!$F$2:$F$75,"Blue Cross Blue Shield of MA",Rates_data!$G$2:$G$75,"Commercial")=0,"not listed",COUNTIFS(Rates_data!$B$2:$B$75,"Massachusetts General Hospital",Rates_data!$D$2:$D$75,"95923",Rates_data!$Y$2:$Y$75,1,Rates_data!$F$2:$F$75,"Blue Cross Blue Shield of MA",Rates_data!$G$2:$G$75,"Commercial")&amp;" row(s)")</f>
        <v>not listed</v>
      </c>
      <c r="D5" s="7" t="str">
        <f aca="false">IF(COUNTIFS(Rates_data!$B$2:$B$75,"Massachusetts General Hospital",Rates_data!$D$2:$D$75,"95924",Rates_data!$Y$2:$Y$75,1,Rates_data!$F$2:$F$75,"Blue Cross Blue Shield of MA",Rates_data!$G$2:$G$75,"Commercial")=0,"not listed",COUNTIFS(Rates_data!$B$2:$B$75,"Massachusetts General Hospital",Rates_data!$D$2:$D$75,"95924",Rates_data!$Y$2:$Y$75,1,Rates_data!$F$2:$F$75,"Blue Cross Blue Shield of MA",Rates_data!$G$2:$G$75,"Commercial")&amp;" row(s)")</f>
        <v>not listed</v>
      </c>
      <c r="E5" s="7" t="str">
        <f aca="false">IF(COUNTIFS(Rates_data!$B$2:$B$75,"Brigham and Women's Hospital",Rates_data!$D$2:$D$75,"95923",Rates_data!$Y$2:$Y$75,1,Rates_data!$F$2:$F$75,"Blue Cross Blue Shield of MA",Rates_data!$G$2:$G$75,"Commercial")=0,"not listed",COUNTIFS(Rates_data!$B$2:$B$75,"Brigham and Women's Hospital",Rates_data!$D$2:$D$75,"95923",Rates_data!$Y$2:$Y$75,1,Rates_data!$F$2:$F$75,"Blue Cross Blue Shield of MA",Rates_data!$G$2:$G$75,"Commercial")&amp;" row(s)")</f>
        <v>not listed</v>
      </c>
      <c r="F5" s="7" t="str">
        <f aca="false">IF(COUNTIFS(Rates_data!$B$2:$B$75,"Brigham and Women's Hospital",Rates_data!$D$2:$D$75,"95924",Rates_data!$Y$2:$Y$75,1,Rates_data!$F$2:$F$75,"Blue Cross Blue Shield of MA",Rates_data!$G$2:$G$75,"Commercial")=0,"not listed",COUNTIFS(Rates_data!$B$2:$B$75,"Brigham and Women's Hospital",Rates_data!$D$2:$D$75,"95924",Rates_data!$Y$2:$Y$75,1,Rates_data!$F$2:$F$75,"Blue Cross Blue Shield of MA",Rates_data!$G$2:$G$75,"Commercial")&amp;" row(s)")</f>
        <v>not listed</v>
      </c>
      <c r="G5" s="7" t="str">
        <f aca="false">IF(COUNTIFS(Rates_data!$B$2:$B$75,"Brigham and Women's Faulkner Hospital",Rates_data!$D$2:$D$75,"95923",Rates_data!$Y$2:$Y$75,1,Rates_data!$F$2:$F$75,"Blue Cross Blue Shield of MA",Rates_data!$G$2:$G$75,"Commercial")=0,"not listed",COUNTIFS(Rates_data!$B$2:$B$75,"Brigham and Women's Faulkner Hospital",Rates_data!$D$2:$D$75,"95923",Rates_data!$Y$2:$Y$75,1,Rates_data!$F$2:$F$75,"Blue Cross Blue Shield of MA",Rates_data!$G$2:$G$75,"Commercial")&amp;" row(s)")</f>
        <v>not listed</v>
      </c>
      <c r="H5" s="7" t="str">
        <f aca="false">IF(COUNTIFS(Rates_data!$B$2:$B$75,"Brigham and Women's Faulkner Hospital",Rates_data!$D$2:$D$75,"95924",Rates_data!$Y$2:$Y$75,1,Rates_data!$F$2:$F$75,"Blue Cross Blue Shield of MA",Rates_data!$G$2:$G$75,"Commercial")=0,"not listed",COUNTIFS(Rates_data!$B$2:$B$75,"Brigham and Women's Faulkner Hospital",Rates_data!$D$2:$D$75,"95924",Rates_data!$Y$2:$Y$75,1,Rates_data!$F$2:$F$75,"Blue Cross Blue Shield of MA",Rates_data!$G$2:$G$75,"Commercial")&amp;" row(s)")</f>
        <v>not listed</v>
      </c>
      <c r="I5" s="7" t="str">
        <f aca="false">IF(COUNTIFS(Rates_data!$B$2:$B$75,"Wentworth-Douglass Hospital",Rates_data!$D$2:$D$75,"95923",Rates_data!$Y$2:$Y$75,1,Rates_data!$F$2:$F$75,"Blue Cross Blue Shield of MA",Rates_data!$G$2:$G$75,"Commercial")=0,"not listed",COUNTIFS(Rates_data!$B$2:$B$75,"Wentworth-Douglass Hospital",Rates_data!$D$2:$D$75,"95923",Rates_data!$Y$2:$Y$75,1,Rates_data!$F$2:$F$75,"Blue Cross Blue Shield of MA",Rates_data!$G$2:$G$75,"Commercial")&amp;" row(s)")</f>
        <v>not listed</v>
      </c>
      <c r="J5" s="7" t="str">
        <f aca="false">IF(COUNTIFS(Rates_data!$B$2:$B$75,"Wentworth-Douglass Hospital",Rates_data!$D$2:$D$75,"95924",Rates_data!$Y$2:$Y$75,1,Rates_data!$F$2:$F$75,"Blue Cross Blue Shield of MA",Rates_data!$G$2:$G$75,"Commercial")=0,"not listed",COUNTIFS(Rates_data!$B$2:$B$75,"Wentworth-Douglass Hospital",Rates_data!$D$2:$D$75,"95924",Rates_data!$Y$2:$Y$75,1,Rates_data!$F$2:$F$75,"Blue Cross Blue Shield of MA",Rates_data!$G$2:$G$75,"Commercial")&amp;" row(s)")</f>
        <v>not listed</v>
      </c>
      <c r="K5" s="7" t="str">
        <f aca="false">IF(COUNTIFS(Rates_data!$B$2:$B$75,"Beth Israel Deaconess Medical Center",Rates_data!$D$2:$D$75,"95923",Rates_data!$Y$2:$Y$75,1,Rates_data!$F$2:$F$75,"Blue Cross Blue Shield of MA",Rates_data!$G$2:$G$75,"Commercial")=0,"not listed",COUNTIFS(Rates_data!$B$2:$B$75,"Beth Israel Deaconess Medical Center",Rates_data!$D$2:$D$75,"95923",Rates_data!$Y$2:$Y$75,1,Rates_data!$F$2:$F$75,"Blue Cross Blue Shield of MA",Rates_data!$G$2:$G$75,"Commercial")&amp;" row(s)")</f>
        <v>2 row(s)</v>
      </c>
      <c r="L5" s="7" t="str">
        <f aca="false">IF(COUNTIFS(Rates_data!$B$2:$B$75,"Beth Israel Deaconess Medical Center",Rates_data!$D$2:$D$75,"95924",Rates_data!$Y$2:$Y$75,1,Rates_data!$F$2:$F$75,"Blue Cross Blue Shield of MA",Rates_data!$G$2:$G$75,"Commercial")=0,"not listed",COUNTIFS(Rates_data!$B$2:$B$75,"Beth Israel Deaconess Medical Center",Rates_data!$D$2:$D$75,"95924",Rates_data!$Y$2:$Y$75,1,Rates_data!$F$2:$F$75,"Blue Cross Blue Shield of MA",Rates_data!$G$2:$G$75,"Commercial")&amp;" row(s)")</f>
        <v>2 row(s)</v>
      </c>
    </row>
    <row r="6" customFormat="false" ht="15" hidden="false" customHeight="false" outlineLevel="0" collapsed="false">
      <c r="A6" s="2" t="s">
        <v>95</v>
      </c>
      <c r="B6" s="7" t="s">
        <v>210</v>
      </c>
      <c r="C6" s="7" t="str">
        <f aca="false">IF(COUNTIFS(Rates_data!$B$2:$B$75,"Massachusetts General Hospital",Rates_data!$D$2:$D$75,"95923",Rates_data!$Y$2:$Y$75,1,Rates_data!$F$2:$F$75,"Harvard Pilgrim / Point32Health",Rates_data!$G$2:$G$75,"Commercial")=0,"not listed",COUNTIFS(Rates_data!$B$2:$B$75,"Massachusetts General Hospital",Rates_data!$D$2:$D$75,"95923",Rates_data!$Y$2:$Y$75,1,Rates_data!$F$2:$F$75,"Harvard Pilgrim / Point32Health",Rates_data!$G$2:$G$75,"Commercial")&amp;" row(s)")</f>
        <v>not listed</v>
      </c>
      <c r="D6" s="7" t="str">
        <f aca="false">IF(COUNTIFS(Rates_data!$B$2:$B$75,"Massachusetts General Hospital",Rates_data!$D$2:$D$75,"95924",Rates_data!$Y$2:$Y$75,1,Rates_data!$F$2:$F$75,"Harvard Pilgrim / Point32Health",Rates_data!$G$2:$G$75,"Commercial")=0,"not listed",COUNTIFS(Rates_data!$B$2:$B$75,"Massachusetts General Hospital",Rates_data!$D$2:$D$75,"95924",Rates_data!$Y$2:$Y$75,1,Rates_data!$F$2:$F$75,"Harvard Pilgrim / Point32Health",Rates_data!$G$2:$G$75,"Commercial")&amp;" row(s)")</f>
        <v>not listed</v>
      </c>
      <c r="E6" s="7" t="str">
        <f aca="false">IF(COUNTIFS(Rates_data!$B$2:$B$75,"Brigham and Women's Hospital",Rates_data!$D$2:$D$75,"95923",Rates_data!$Y$2:$Y$75,1,Rates_data!$F$2:$F$75,"Harvard Pilgrim / Point32Health",Rates_data!$G$2:$G$75,"Commercial")=0,"not listed",COUNTIFS(Rates_data!$B$2:$B$75,"Brigham and Women's Hospital",Rates_data!$D$2:$D$75,"95923",Rates_data!$Y$2:$Y$75,1,Rates_data!$F$2:$F$75,"Harvard Pilgrim / Point32Health",Rates_data!$G$2:$G$75,"Commercial")&amp;" row(s)")</f>
        <v>not listed</v>
      </c>
      <c r="F6" s="7" t="str">
        <f aca="false">IF(COUNTIFS(Rates_data!$B$2:$B$75,"Brigham and Women's Hospital",Rates_data!$D$2:$D$75,"95924",Rates_data!$Y$2:$Y$75,1,Rates_data!$F$2:$F$75,"Harvard Pilgrim / Point32Health",Rates_data!$G$2:$G$75,"Commercial")=0,"not listed",COUNTIFS(Rates_data!$B$2:$B$75,"Brigham and Women's Hospital",Rates_data!$D$2:$D$75,"95924",Rates_data!$Y$2:$Y$75,1,Rates_data!$F$2:$F$75,"Harvard Pilgrim / Point32Health",Rates_data!$G$2:$G$75,"Commercial")&amp;" row(s)")</f>
        <v>not listed</v>
      </c>
      <c r="G6" s="7" t="str">
        <f aca="false">IF(COUNTIFS(Rates_data!$B$2:$B$75,"Brigham and Women's Faulkner Hospital",Rates_data!$D$2:$D$75,"95923",Rates_data!$Y$2:$Y$75,1,Rates_data!$F$2:$F$75,"Harvard Pilgrim / Point32Health",Rates_data!$G$2:$G$75,"Commercial")=0,"not listed",COUNTIFS(Rates_data!$B$2:$B$75,"Brigham and Women's Faulkner Hospital",Rates_data!$D$2:$D$75,"95923",Rates_data!$Y$2:$Y$75,1,Rates_data!$F$2:$F$75,"Harvard Pilgrim / Point32Health",Rates_data!$G$2:$G$75,"Commercial")&amp;" row(s)")</f>
        <v>not listed</v>
      </c>
      <c r="H6" s="7" t="str">
        <f aca="false">IF(COUNTIFS(Rates_data!$B$2:$B$75,"Brigham and Women's Faulkner Hospital",Rates_data!$D$2:$D$75,"95924",Rates_data!$Y$2:$Y$75,1,Rates_data!$F$2:$F$75,"Harvard Pilgrim / Point32Health",Rates_data!$G$2:$G$75,"Commercial")=0,"not listed",COUNTIFS(Rates_data!$B$2:$B$75,"Brigham and Women's Faulkner Hospital",Rates_data!$D$2:$D$75,"95924",Rates_data!$Y$2:$Y$75,1,Rates_data!$F$2:$F$75,"Harvard Pilgrim / Point32Health",Rates_data!$G$2:$G$75,"Commercial")&amp;" row(s)")</f>
        <v>not listed</v>
      </c>
      <c r="I6" s="7" t="str">
        <f aca="false">IF(COUNTIFS(Rates_data!$B$2:$B$75,"Wentworth-Douglass Hospital",Rates_data!$D$2:$D$75,"95923",Rates_data!$Y$2:$Y$75,1,Rates_data!$F$2:$F$75,"Harvard Pilgrim / Point32Health",Rates_data!$G$2:$G$75,"Commercial")=0,"not listed",COUNTIFS(Rates_data!$B$2:$B$75,"Wentworth-Douglass Hospital",Rates_data!$D$2:$D$75,"95923",Rates_data!$Y$2:$Y$75,1,Rates_data!$F$2:$F$75,"Harvard Pilgrim / Point32Health",Rates_data!$G$2:$G$75,"Commercial")&amp;" row(s)")</f>
        <v>not listed</v>
      </c>
      <c r="J6" s="7" t="str">
        <f aca="false">IF(COUNTIFS(Rates_data!$B$2:$B$75,"Wentworth-Douglass Hospital",Rates_data!$D$2:$D$75,"95924",Rates_data!$Y$2:$Y$75,1,Rates_data!$F$2:$F$75,"Harvard Pilgrim / Point32Health",Rates_data!$G$2:$G$75,"Commercial")=0,"not listed",COUNTIFS(Rates_data!$B$2:$B$75,"Wentworth-Douglass Hospital",Rates_data!$D$2:$D$75,"95924",Rates_data!$Y$2:$Y$75,1,Rates_data!$F$2:$F$75,"Harvard Pilgrim / Point32Health",Rates_data!$G$2:$G$75,"Commercial")&amp;" row(s)")</f>
        <v>not listed</v>
      </c>
      <c r="K6" s="7" t="str">
        <f aca="false">IF(COUNTIFS(Rates_data!$B$2:$B$75,"Beth Israel Deaconess Medical Center",Rates_data!$D$2:$D$75,"95923",Rates_data!$Y$2:$Y$75,1,Rates_data!$F$2:$F$75,"Harvard Pilgrim / Point32Health",Rates_data!$G$2:$G$75,"Commercial")=0,"not listed",COUNTIFS(Rates_data!$B$2:$B$75,"Beth Israel Deaconess Medical Center",Rates_data!$D$2:$D$75,"95923",Rates_data!$Y$2:$Y$75,1,Rates_data!$F$2:$F$75,"Harvard Pilgrim / Point32Health",Rates_data!$G$2:$G$75,"Commercial")&amp;" row(s)")</f>
        <v>1 row(s)</v>
      </c>
      <c r="L6" s="7" t="str">
        <f aca="false">IF(COUNTIFS(Rates_data!$B$2:$B$75,"Beth Israel Deaconess Medical Center",Rates_data!$D$2:$D$75,"95924",Rates_data!$Y$2:$Y$75,1,Rates_data!$F$2:$F$75,"Harvard Pilgrim / Point32Health",Rates_data!$G$2:$G$75,"Commercial")=0,"not listed",COUNTIFS(Rates_data!$B$2:$B$75,"Beth Israel Deaconess Medical Center",Rates_data!$D$2:$D$75,"95924",Rates_data!$Y$2:$Y$75,1,Rates_data!$F$2:$F$75,"Harvard Pilgrim / Point32Health",Rates_data!$G$2:$G$75,"Commercial")&amp;" row(s)")</f>
        <v>1 row(s)</v>
      </c>
    </row>
    <row r="7" customFormat="false" ht="15" hidden="false" customHeight="false" outlineLevel="0" collapsed="false">
      <c r="A7" s="2" t="s">
        <v>72</v>
      </c>
      <c r="B7" s="7" t="s">
        <v>210</v>
      </c>
      <c r="C7" s="7" t="str">
        <f aca="false">IF(COUNTIFS(Rates_data!$B$2:$B$75,"Massachusetts General Hospital",Rates_data!$D$2:$D$75,"95923",Rates_data!$Y$2:$Y$75,1,Rates_data!$F$2:$F$75,"Tufts Health Plan",Rates_data!$G$2:$G$75,"Commercial")=0,"not listed",COUNTIFS(Rates_data!$B$2:$B$75,"Massachusetts General Hospital",Rates_data!$D$2:$D$75,"95923",Rates_data!$Y$2:$Y$75,1,Rates_data!$F$2:$F$75,"Tufts Health Plan",Rates_data!$G$2:$G$75,"Commercial")&amp;" row(s)")</f>
        <v>not listed</v>
      </c>
      <c r="D7" s="7" t="str">
        <f aca="false">IF(COUNTIFS(Rates_data!$B$2:$B$75,"Massachusetts General Hospital",Rates_data!$D$2:$D$75,"95924",Rates_data!$Y$2:$Y$75,1,Rates_data!$F$2:$F$75,"Tufts Health Plan",Rates_data!$G$2:$G$75,"Commercial")=0,"not listed",COUNTIFS(Rates_data!$B$2:$B$75,"Massachusetts General Hospital",Rates_data!$D$2:$D$75,"95924",Rates_data!$Y$2:$Y$75,1,Rates_data!$F$2:$F$75,"Tufts Health Plan",Rates_data!$G$2:$G$75,"Commercial")&amp;" row(s)")</f>
        <v>not listed</v>
      </c>
      <c r="E7" s="7" t="str">
        <f aca="false">IF(COUNTIFS(Rates_data!$B$2:$B$75,"Brigham and Women's Hospital",Rates_data!$D$2:$D$75,"95923",Rates_data!$Y$2:$Y$75,1,Rates_data!$F$2:$F$75,"Tufts Health Plan",Rates_data!$G$2:$G$75,"Commercial")=0,"not listed",COUNTIFS(Rates_data!$B$2:$B$75,"Brigham and Women's Hospital",Rates_data!$D$2:$D$75,"95923",Rates_data!$Y$2:$Y$75,1,Rates_data!$F$2:$F$75,"Tufts Health Plan",Rates_data!$G$2:$G$75,"Commercial")&amp;" row(s)")</f>
        <v>not listed</v>
      </c>
      <c r="F7" s="7" t="str">
        <f aca="false">IF(COUNTIFS(Rates_data!$B$2:$B$75,"Brigham and Women's Hospital",Rates_data!$D$2:$D$75,"95924",Rates_data!$Y$2:$Y$75,1,Rates_data!$F$2:$F$75,"Tufts Health Plan",Rates_data!$G$2:$G$75,"Commercial")=0,"not listed",COUNTIFS(Rates_data!$B$2:$B$75,"Brigham and Women's Hospital",Rates_data!$D$2:$D$75,"95924",Rates_data!$Y$2:$Y$75,1,Rates_data!$F$2:$F$75,"Tufts Health Plan",Rates_data!$G$2:$G$75,"Commercial")&amp;" row(s)")</f>
        <v>not listed</v>
      </c>
      <c r="G7" s="7" t="str">
        <f aca="false">IF(COUNTIFS(Rates_data!$B$2:$B$75,"Brigham and Women's Faulkner Hospital",Rates_data!$D$2:$D$75,"95923",Rates_data!$Y$2:$Y$75,1,Rates_data!$F$2:$F$75,"Tufts Health Plan",Rates_data!$G$2:$G$75,"Commercial")=0,"not listed",COUNTIFS(Rates_data!$B$2:$B$75,"Brigham and Women's Faulkner Hospital",Rates_data!$D$2:$D$75,"95923",Rates_data!$Y$2:$Y$75,1,Rates_data!$F$2:$F$75,"Tufts Health Plan",Rates_data!$G$2:$G$75,"Commercial")&amp;" row(s)")</f>
        <v>not listed</v>
      </c>
      <c r="H7" s="7" t="str">
        <f aca="false">IF(COUNTIFS(Rates_data!$B$2:$B$75,"Brigham and Women's Faulkner Hospital",Rates_data!$D$2:$D$75,"95924",Rates_data!$Y$2:$Y$75,1,Rates_data!$F$2:$F$75,"Tufts Health Plan",Rates_data!$G$2:$G$75,"Commercial")=0,"not listed",COUNTIFS(Rates_data!$B$2:$B$75,"Brigham and Women's Faulkner Hospital",Rates_data!$D$2:$D$75,"95924",Rates_data!$Y$2:$Y$75,1,Rates_data!$F$2:$F$75,"Tufts Health Plan",Rates_data!$G$2:$G$75,"Commercial")&amp;" row(s)")</f>
        <v>not listed</v>
      </c>
      <c r="I7" s="7" t="str">
        <f aca="false">IF(COUNTIFS(Rates_data!$B$2:$B$75,"Wentworth-Douglass Hospital",Rates_data!$D$2:$D$75,"95923",Rates_data!$Y$2:$Y$75,1,Rates_data!$F$2:$F$75,"Tufts Health Plan",Rates_data!$G$2:$G$75,"Commercial")=0,"not listed",COUNTIFS(Rates_data!$B$2:$B$75,"Wentworth-Douglass Hospital",Rates_data!$D$2:$D$75,"95923",Rates_data!$Y$2:$Y$75,1,Rates_data!$F$2:$F$75,"Tufts Health Plan",Rates_data!$G$2:$G$75,"Commercial")&amp;" row(s)")</f>
        <v>not listed</v>
      </c>
      <c r="J7" s="7" t="str">
        <f aca="false">IF(COUNTIFS(Rates_data!$B$2:$B$75,"Wentworth-Douglass Hospital",Rates_data!$D$2:$D$75,"95924",Rates_data!$Y$2:$Y$75,1,Rates_data!$F$2:$F$75,"Tufts Health Plan",Rates_data!$G$2:$G$75,"Commercial")=0,"not listed",COUNTIFS(Rates_data!$B$2:$B$75,"Wentworth-Douglass Hospital",Rates_data!$D$2:$D$75,"95924",Rates_data!$Y$2:$Y$75,1,Rates_data!$F$2:$F$75,"Tufts Health Plan",Rates_data!$G$2:$G$75,"Commercial")&amp;" row(s)")</f>
        <v>not listed</v>
      </c>
      <c r="K7" s="7" t="str">
        <f aca="false">IF(COUNTIFS(Rates_data!$B$2:$B$75,"Beth Israel Deaconess Medical Center",Rates_data!$D$2:$D$75,"95923",Rates_data!$Y$2:$Y$75,1,Rates_data!$F$2:$F$75,"Tufts Health Plan",Rates_data!$G$2:$G$75,"Commercial")=0,"not listed",COUNTIFS(Rates_data!$B$2:$B$75,"Beth Israel Deaconess Medical Center",Rates_data!$D$2:$D$75,"95923",Rates_data!$Y$2:$Y$75,1,Rates_data!$F$2:$F$75,"Tufts Health Plan",Rates_data!$G$2:$G$75,"Commercial")&amp;" row(s)")</f>
        <v>not listed</v>
      </c>
      <c r="L7" s="7" t="str">
        <f aca="false">IF(COUNTIFS(Rates_data!$B$2:$B$75,"Beth Israel Deaconess Medical Center",Rates_data!$D$2:$D$75,"95924",Rates_data!$Y$2:$Y$75,1,Rates_data!$F$2:$F$75,"Tufts Health Plan",Rates_data!$G$2:$G$75,"Commercial")=0,"not listed",COUNTIFS(Rates_data!$B$2:$B$75,"Beth Israel Deaconess Medical Center",Rates_data!$D$2:$D$75,"95924",Rates_data!$Y$2:$Y$75,1,Rates_data!$F$2:$F$75,"Tufts Health Plan",Rates_data!$G$2:$G$75,"Commercial")&amp;" row(s)")</f>
        <v>not listed</v>
      </c>
    </row>
    <row r="8" customFormat="false" ht="15" hidden="false" customHeight="false" outlineLevel="0" collapsed="false">
      <c r="A8" s="2" t="s">
        <v>55</v>
      </c>
      <c r="B8" s="7" t="s">
        <v>210</v>
      </c>
      <c r="C8" s="7" t="str">
        <f aca="false">IF(COUNTIFS(Rates_data!$B$2:$B$75,"Massachusetts General Hospital",Rates_data!$D$2:$D$75,"95923",Rates_data!$Y$2:$Y$75,1,Rates_data!$F$2:$F$75,"Mass General Brigham Health Plan",Rates_data!$G$2:$G$75,"Commercial")=0,"not listed",COUNTIFS(Rates_data!$B$2:$B$75,"Massachusetts General Hospital",Rates_data!$D$2:$D$75,"95923",Rates_data!$Y$2:$Y$75,1,Rates_data!$F$2:$F$75,"Mass General Brigham Health Plan",Rates_data!$G$2:$G$75,"Commercial")&amp;" row(s)")</f>
        <v>2 row(s)</v>
      </c>
      <c r="D8" s="7" t="str">
        <f aca="false">IF(COUNTIFS(Rates_data!$B$2:$B$75,"Massachusetts General Hospital",Rates_data!$D$2:$D$75,"95924",Rates_data!$Y$2:$Y$75,1,Rates_data!$F$2:$F$75,"Mass General Brigham Health Plan",Rates_data!$G$2:$G$75,"Commercial")=0,"not listed",COUNTIFS(Rates_data!$B$2:$B$75,"Massachusetts General Hospital",Rates_data!$D$2:$D$75,"95924",Rates_data!$Y$2:$Y$75,1,Rates_data!$F$2:$F$75,"Mass General Brigham Health Plan",Rates_data!$G$2:$G$75,"Commercial")&amp;" row(s)")</f>
        <v>2 row(s)</v>
      </c>
      <c r="E8" s="7" t="str">
        <f aca="false">IF(COUNTIFS(Rates_data!$B$2:$B$75,"Brigham and Women's Hospital",Rates_data!$D$2:$D$75,"95923",Rates_data!$Y$2:$Y$75,1,Rates_data!$F$2:$F$75,"Mass General Brigham Health Plan",Rates_data!$G$2:$G$75,"Commercial")=0,"not listed",COUNTIFS(Rates_data!$B$2:$B$75,"Brigham and Women's Hospital",Rates_data!$D$2:$D$75,"95923",Rates_data!$Y$2:$Y$75,1,Rates_data!$F$2:$F$75,"Mass General Brigham Health Plan",Rates_data!$G$2:$G$75,"Commercial")&amp;" row(s)")</f>
        <v>not listed</v>
      </c>
      <c r="F8" s="7" t="str">
        <f aca="false">IF(COUNTIFS(Rates_data!$B$2:$B$75,"Brigham and Women's Hospital",Rates_data!$D$2:$D$75,"95924",Rates_data!$Y$2:$Y$75,1,Rates_data!$F$2:$F$75,"Mass General Brigham Health Plan",Rates_data!$G$2:$G$75,"Commercial")=0,"not listed",COUNTIFS(Rates_data!$B$2:$B$75,"Brigham and Women's Hospital",Rates_data!$D$2:$D$75,"95924",Rates_data!$Y$2:$Y$75,1,Rates_data!$F$2:$F$75,"Mass General Brigham Health Plan",Rates_data!$G$2:$G$75,"Commercial")&amp;" row(s)")</f>
        <v>not listed</v>
      </c>
      <c r="G8" s="7" t="str">
        <f aca="false">IF(COUNTIFS(Rates_data!$B$2:$B$75,"Brigham and Women's Faulkner Hospital",Rates_data!$D$2:$D$75,"95923",Rates_data!$Y$2:$Y$75,1,Rates_data!$F$2:$F$75,"Mass General Brigham Health Plan",Rates_data!$G$2:$G$75,"Commercial")=0,"not listed",COUNTIFS(Rates_data!$B$2:$B$75,"Brigham and Women's Faulkner Hospital",Rates_data!$D$2:$D$75,"95923",Rates_data!$Y$2:$Y$75,1,Rates_data!$F$2:$F$75,"Mass General Brigham Health Plan",Rates_data!$G$2:$G$75,"Commercial")&amp;" row(s)")</f>
        <v>not listed</v>
      </c>
      <c r="H8" s="7" t="str">
        <f aca="false">IF(COUNTIFS(Rates_data!$B$2:$B$75,"Brigham and Women's Faulkner Hospital",Rates_data!$D$2:$D$75,"95924",Rates_data!$Y$2:$Y$75,1,Rates_data!$F$2:$F$75,"Mass General Brigham Health Plan",Rates_data!$G$2:$G$75,"Commercial")=0,"not listed",COUNTIFS(Rates_data!$B$2:$B$75,"Brigham and Women's Faulkner Hospital",Rates_data!$D$2:$D$75,"95924",Rates_data!$Y$2:$Y$75,1,Rates_data!$F$2:$F$75,"Mass General Brigham Health Plan",Rates_data!$G$2:$G$75,"Commercial")&amp;" row(s)")</f>
        <v>not listed</v>
      </c>
      <c r="I8" s="7" t="str">
        <f aca="false">IF(COUNTIFS(Rates_data!$B$2:$B$75,"Wentworth-Douglass Hospital",Rates_data!$D$2:$D$75,"95923",Rates_data!$Y$2:$Y$75,1,Rates_data!$F$2:$F$75,"Mass General Brigham Health Plan",Rates_data!$G$2:$G$75,"Commercial")=0,"not listed",COUNTIFS(Rates_data!$B$2:$B$75,"Wentworth-Douglass Hospital",Rates_data!$D$2:$D$75,"95923",Rates_data!$Y$2:$Y$75,1,Rates_data!$F$2:$F$75,"Mass General Brigham Health Plan",Rates_data!$G$2:$G$75,"Commercial")&amp;" row(s)")</f>
        <v>not listed</v>
      </c>
      <c r="J8" s="7" t="str">
        <f aca="false">IF(COUNTIFS(Rates_data!$B$2:$B$75,"Wentworth-Douglass Hospital",Rates_data!$D$2:$D$75,"95924",Rates_data!$Y$2:$Y$75,1,Rates_data!$F$2:$F$75,"Mass General Brigham Health Plan",Rates_data!$G$2:$G$75,"Commercial")=0,"not listed",COUNTIFS(Rates_data!$B$2:$B$75,"Wentworth-Douglass Hospital",Rates_data!$D$2:$D$75,"95924",Rates_data!$Y$2:$Y$75,1,Rates_data!$F$2:$F$75,"Mass General Brigham Health Plan",Rates_data!$G$2:$G$75,"Commercial")&amp;" row(s)")</f>
        <v>not listed</v>
      </c>
      <c r="K8" s="7" t="str">
        <f aca="false">IF(COUNTIFS(Rates_data!$B$2:$B$75,"Beth Israel Deaconess Medical Center",Rates_data!$D$2:$D$75,"95923",Rates_data!$Y$2:$Y$75,1,Rates_data!$F$2:$F$75,"Mass General Brigham Health Plan",Rates_data!$G$2:$G$75,"Commercial")=0,"not listed",COUNTIFS(Rates_data!$B$2:$B$75,"Beth Israel Deaconess Medical Center",Rates_data!$D$2:$D$75,"95923",Rates_data!$Y$2:$Y$75,1,Rates_data!$F$2:$F$75,"Mass General Brigham Health Plan",Rates_data!$G$2:$G$75,"Commercial")&amp;" row(s)")</f>
        <v>not listed</v>
      </c>
      <c r="L8" s="7" t="str">
        <f aca="false">IF(COUNTIFS(Rates_data!$B$2:$B$75,"Beth Israel Deaconess Medical Center",Rates_data!$D$2:$D$75,"95924",Rates_data!$Y$2:$Y$75,1,Rates_data!$F$2:$F$75,"Mass General Brigham Health Plan",Rates_data!$G$2:$G$75,"Commercial")=0,"not listed",COUNTIFS(Rates_data!$B$2:$B$75,"Beth Israel Deaconess Medical Center",Rates_data!$D$2:$D$75,"95924",Rates_data!$Y$2:$Y$75,1,Rates_data!$F$2:$F$75,"Mass General Brigham Health Plan",Rates_data!$G$2:$G$75,"Commercial")&amp;" row(s)")</f>
        <v>not listed</v>
      </c>
    </row>
    <row r="9" customFormat="false" ht="15" hidden="false" customHeight="false" outlineLevel="0" collapsed="false">
      <c r="A9" s="2" t="s">
        <v>42</v>
      </c>
      <c r="B9" s="7" t="s">
        <v>210</v>
      </c>
      <c r="C9" s="7" t="str">
        <f aca="false">IF(COUNTIFS(Rates_data!$B$2:$B$75,"Massachusetts General Hospital",Rates_data!$D$2:$D$75,"95923",Rates_data!$Y$2:$Y$75,1,Rates_data!$F$2:$F$75,"UnitedHealthcare",Rates_data!$G$2:$G$75,"Commercial")=0,"not listed",COUNTIFS(Rates_data!$B$2:$B$75,"Massachusetts General Hospital",Rates_data!$D$2:$D$75,"95923",Rates_data!$Y$2:$Y$75,1,Rates_data!$F$2:$F$75,"UnitedHealthcare",Rates_data!$G$2:$G$75,"Commercial")&amp;" row(s)")</f>
        <v>2 row(s)</v>
      </c>
      <c r="D9" s="7" t="str">
        <f aca="false">IF(COUNTIFS(Rates_data!$B$2:$B$75,"Massachusetts General Hospital",Rates_data!$D$2:$D$75,"95924",Rates_data!$Y$2:$Y$75,1,Rates_data!$F$2:$F$75,"UnitedHealthcare",Rates_data!$G$2:$G$75,"Commercial")=0,"not listed",COUNTIFS(Rates_data!$B$2:$B$75,"Massachusetts General Hospital",Rates_data!$D$2:$D$75,"95924",Rates_data!$Y$2:$Y$75,1,Rates_data!$F$2:$F$75,"UnitedHealthcare",Rates_data!$G$2:$G$75,"Commercial")&amp;" row(s)")</f>
        <v>2 row(s)</v>
      </c>
      <c r="E9" s="7" t="str">
        <f aca="false">IF(COUNTIFS(Rates_data!$B$2:$B$75,"Brigham and Women's Hospital",Rates_data!$D$2:$D$75,"95923",Rates_data!$Y$2:$Y$75,1,Rates_data!$F$2:$F$75,"UnitedHealthcare",Rates_data!$G$2:$G$75,"Commercial")=0,"not listed",COUNTIFS(Rates_data!$B$2:$B$75,"Brigham and Women's Hospital",Rates_data!$D$2:$D$75,"95923",Rates_data!$Y$2:$Y$75,1,Rates_data!$F$2:$F$75,"UnitedHealthcare",Rates_data!$G$2:$G$75,"Commercial")&amp;" row(s)")</f>
        <v>not listed</v>
      </c>
      <c r="F9" s="7" t="str">
        <f aca="false">IF(COUNTIFS(Rates_data!$B$2:$B$75,"Brigham and Women's Hospital",Rates_data!$D$2:$D$75,"95924",Rates_data!$Y$2:$Y$75,1,Rates_data!$F$2:$F$75,"UnitedHealthcare",Rates_data!$G$2:$G$75,"Commercial")=0,"not listed",COUNTIFS(Rates_data!$B$2:$B$75,"Brigham and Women's Hospital",Rates_data!$D$2:$D$75,"95924",Rates_data!$Y$2:$Y$75,1,Rates_data!$F$2:$F$75,"UnitedHealthcare",Rates_data!$G$2:$G$75,"Commercial")&amp;" row(s)")</f>
        <v>not listed</v>
      </c>
      <c r="G9" s="7" t="str">
        <f aca="false">IF(COUNTIFS(Rates_data!$B$2:$B$75,"Brigham and Women's Faulkner Hospital",Rates_data!$D$2:$D$75,"95923",Rates_data!$Y$2:$Y$75,1,Rates_data!$F$2:$F$75,"UnitedHealthcare",Rates_data!$G$2:$G$75,"Commercial")=0,"not listed",COUNTIFS(Rates_data!$B$2:$B$75,"Brigham and Women's Faulkner Hospital",Rates_data!$D$2:$D$75,"95923",Rates_data!$Y$2:$Y$75,1,Rates_data!$F$2:$F$75,"UnitedHealthcare",Rates_data!$G$2:$G$75,"Commercial")&amp;" row(s)")</f>
        <v>2 row(s)</v>
      </c>
      <c r="H9" s="7" t="str">
        <f aca="false">IF(COUNTIFS(Rates_data!$B$2:$B$75,"Brigham and Women's Faulkner Hospital",Rates_data!$D$2:$D$75,"95924",Rates_data!$Y$2:$Y$75,1,Rates_data!$F$2:$F$75,"UnitedHealthcare",Rates_data!$G$2:$G$75,"Commercial")=0,"not listed",COUNTIFS(Rates_data!$B$2:$B$75,"Brigham and Women's Faulkner Hospital",Rates_data!$D$2:$D$75,"95924",Rates_data!$Y$2:$Y$75,1,Rates_data!$F$2:$F$75,"UnitedHealthcare",Rates_data!$G$2:$G$75,"Commercial")&amp;" row(s)")</f>
        <v>2 row(s)</v>
      </c>
      <c r="I9" s="7" t="str">
        <f aca="false">IF(COUNTIFS(Rates_data!$B$2:$B$75,"Wentworth-Douglass Hospital",Rates_data!$D$2:$D$75,"95923",Rates_data!$Y$2:$Y$75,1,Rates_data!$F$2:$F$75,"UnitedHealthcare",Rates_data!$G$2:$G$75,"Commercial")=0,"not listed",COUNTIFS(Rates_data!$B$2:$B$75,"Wentworth-Douglass Hospital",Rates_data!$D$2:$D$75,"95923",Rates_data!$Y$2:$Y$75,1,Rates_data!$F$2:$F$75,"UnitedHealthcare",Rates_data!$G$2:$G$75,"Commercial")&amp;" row(s)")</f>
        <v>not listed</v>
      </c>
      <c r="J9" s="7" t="str">
        <f aca="false">IF(COUNTIFS(Rates_data!$B$2:$B$75,"Wentworth-Douglass Hospital",Rates_data!$D$2:$D$75,"95924",Rates_data!$Y$2:$Y$75,1,Rates_data!$F$2:$F$75,"UnitedHealthcare",Rates_data!$G$2:$G$75,"Commercial")=0,"not listed",COUNTIFS(Rates_data!$B$2:$B$75,"Wentworth-Douglass Hospital",Rates_data!$D$2:$D$75,"95924",Rates_data!$Y$2:$Y$75,1,Rates_data!$F$2:$F$75,"UnitedHealthcare",Rates_data!$G$2:$G$75,"Commercial")&amp;" row(s)")</f>
        <v>not listed</v>
      </c>
      <c r="K9" s="7" t="str">
        <f aca="false">IF(COUNTIFS(Rates_data!$B$2:$B$75,"Beth Israel Deaconess Medical Center",Rates_data!$D$2:$D$75,"95923",Rates_data!$Y$2:$Y$75,1,Rates_data!$F$2:$F$75,"UnitedHealthcare",Rates_data!$G$2:$G$75,"Commercial")=0,"not listed",COUNTIFS(Rates_data!$B$2:$B$75,"Beth Israel Deaconess Medical Center",Rates_data!$D$2:$D$75,"95923",Rates_data!$Y$2:$Y$75,1,Rates_data!$F$2:$F$75,"UnitedHealthcare",Rates_data!$G$2:$G$75,"Commercial")&amp;" row(s)")</f>
        <v>not listed</v>
      </c>
      <c r="L9" s="7" t="str">
        <f aca="false">IF(COUNTIFS(Rates_data!$B$2:$B$75,"Beth Israel Deaconess Medical Center",Rates_data!$D$2:$D$75,"95924",Rates_data!$Y$2:$Y$75,1,Rates_data!$F$2:$F$75,"UnitedHealthcare",Rates_data!$G$2:$G$75,"Commercial")=0,"not listed",COUNTIFS(Rates_data!$B$2:$B$75,"Beth Israel Deaconess Medical Center",Rates_data!$D$2:$D$75,"95924",Rates_data!$Y$2:$Y$75,1,Rates_data!$F$2:$F$75,"UnitedHealthcare",Rates_data!$G$2:$G$75,"Commercial")&amp;" row(s)")</f>
        <v>not listed</v>
      </c>
    </row>
    <row r="10" customFormat="false" ht="15" hidden="false" customHeight="false" outlineLevel="0" collapsed="false">
      <c r="A10" s="2" t="s">
        <v>47</v>
      </c>
      <c r="B10" s="7" t="s">
        <v>210</v>
      </c>
      <c r="C10" s="7" t="str">
        <f aca="false">IF(COUNTIFS(Rates_data!$B$2:$B$75,"Massachusetts General Hospital",Rates_data!$D$2:$D$75,"95923",Rates_data!$Y$2:$Y$75,1,Rates_data!$F$2:$F$75,"Aetna",Rates_data!$G$2:$G$75,"Commercial")=0,"not listed",COUNTIFS(Rates_data!$B$2:$B$75,"Massachusetts General Hospital",Rates_data!$D$2:$D$75,"95923",Rates_data!$Y$2:$Y$75,1,Rates_data!$F$2:$F$75,"Aetna",Rates_data!$G$2:$G$75,"Commercial")&amp;" row(s)")</f>
        <v>1 row(s)</v>
      </c>
      <c r="D10" s="7" t="str">
        <f aca="false">IF(COUNTIFS(Rates_data!$B$2:$B$75,"Massachusetts General Hospital",Rates_data!$D$2:$D$75,"95924",Rates_data!$Y$2:$Y$75,1,Rates_data!$F$2:$F$75,"Aetna",Rates_data!$G$2:$G$75,"Commercial")=0,"not listed",COUNTIFS(Rates_data!$B$2:$B$75,"Massachusetts General Hospital",Rates_data!$D$2:$D$75,"95924",Rates_data!$Y$2:$Y$75,1,Rates_data!$F$2:$F$75,"Aetna",Rates_data!$G$2:$G$75,"Commercial")&amp;" row(s)")</f>
        <v>1 row(s)</v>
      </c>
      <c r="E10" s="7" t="str">
        <f aca="false">IF(COUNTIFS(Rates_data!$B$2:$B$75,"Brigham and Women's Hospital",Rates_data!$D$2:$D$75,"95923",Rates_data!$Y$2:$Y$75,1,Rates_data!$F$2:$F$75,"Aetna",Rates_data!$G$2:$G$75,"Commercial")=0,"not listed",COUNTIFS(Rates_data!$B$2:$B$75,"Brigham and Women's Hospital",Rates_data!$D$2:$D$75,"95923",Rates_data!$Y$2:$Y$75,1,Rates_data!$F$2:$F$75,"Aetna",Rates_data!$G$2:$G$75,"Commercial")&amp;" row(s)")</f>
        <v>not listed</v>
      </c>
      <c r="F10" s="7" t="str">
        <f aca="false">IF(COUNTIFS(Rates_data!$B$2:$B$75,"Brigham and Women's Hospital",Rates_data!$D$2:$D$75,"95924",Rates_data!$Y$2:$Y$75,1,Rates_data!$F$2:$F$75,"Aetna",Rates_data!$G$2:$G$75,"Commercial")=0,"not listed",COUNTIFS(Rates_data!$B$2:$B$75,"Brigham and Women's Hospital",Rates_data!$D$2:$D$75,"95924",Rates_data!$Y$2:$Y$75,1,Rates_data!$F$2:$F$75,"Aetna",Rates_data!$G$2:$G$75,"Commercial")&amp;" row(s)")</f>
        <v>not listed</v>
      </c>
      <c r="G10" s="7" t="str">
        <f aca="false">IF(COUNTIFS(Rates_data!$B$2:$B$75,"Brigham and Women's Faulkner Hospital",Rates_data!$D$2:$D$75,"95923",Rates_data!$Y$2:$Y$75,1,Rates_data!$F$2:$F$75,"Aetna",Rates_data!$G$2:$G$75,"Commercial")=0,"not listed",COUNTIFS(Rates_data!$B$2:$B$75,"Brigham and Women's Faulkner Hospital",Rates_data!$D$2:$D$75,"95923",Rates_data!$Y$2:$Y$75,1,Rates_data!$F$2:$F$75,"Aetna",Rates_data!$G$2:$G$75,"Commercial")&amp;" row(s)")</f>
        <v>not listed</v>
      </c>
      <c r="H10" s="7" t="str">
        <f aca="false">IF(COUNTIFS(Rates_data!$B$2:$B$75,"Brigham and Women's Faulkner Hospital",Rates_data!$D$2:$D$75,"95924",Rates_data!$Y$2:$Y$75,1,Rates_data!$F$2:$F$75,"Aetna",Rates_data!$G$2:$G$75,"Commercial")=0,"not listed",COUNTIFS(Rates_data!$B$2:$B$75,"Brigham and Women's Faulkner Hospital",Rates_data!$D$2:$D$75,"95924",Rates_data!$Y$2:$Y$75,1,Rates_data!$F$2:$F$75,"Aetna",Rates_data!$G$2:$G$75,"Commercial")&amp;" row(s)")</f>
        <v>not listed</v>
      </c>
      <c r="I10" s="7" t="str">
        <f aca="false">IF(COUNTIFS(Rates_data!$B$2:$B$75,"Wentworth-Douglass Hospital",Rates_data!$D$2:$D$75,"95923",Rates_data!$Y$2:$Y$75,1,Rates_data!$F$2:$F$75,"Aetna",Rates_data!$G$2:$G$75,"Commercial")=0,"not listed",COUNTIFS(Rates_data!$B$2:$B$75,"Wentworth-Douglass Hospital",Rates_data!$D$2:$D$75,"95923",Rates_data!$Y$2:$Y$75,1,Rates_data!$F$2:$F$75,"Aetna",Rates_data!$G$2:$G$75,"Commercial")&amp;" row(s)")</f>
        <v>not listed</v>
      </c>
      <c r="J10" s="7" t="str">
        <f aca="false">IF(COUNTIFS(Rates_data!$B$2:$B$75,"Wentworth-Douglass Hospital",Rates_data!$D$2:$D$75,"95924",Rates_data!$Y$2:$Y$75,1,Rates_data!$F$2:$F$75,"Aetna",Rates_data!$G$2:$G$75,"Commercial")=0,"not listed",COUNTIFS(Rates_data!$B$2:$B$75,"Wentworth-Douglass Hospital",Rates_data!$D$2:$D$75,"95924",Rates_data!$Y$2:$Y$75,1,Rates_data!$F$2:$F$75,"Aetna",Rates_data!$G$2:$G$75,"Commercial")&amp;" row(s)")</f>
        <v>not listed</v>
      </c>
      <c r="K10" s="7" t="str">
        <f aca="false">IF(COUNTIFS(Rates_data!$B$2:$B$75,"Beth Israel Deaconess Medical Center",Rates_data!$D$2:$D$75,"95923",Rates_data!$Y$2:$Y$75,1,Rates_data!$F$2:$F$75,"Aetna",Rates_data!$G$2:$G$75,"Commercial")=0,"not listed",COUNTIFS(Rates_data!$B$2:$B$75,"Beth Israel Deaconess Medical Center",Rates_data!$D$2:$D$75,"95923",Rates_data!$Y$2:$Y$75,1,Rates_data!$F$2:$F$75,"Aetna",Rates_data!$G$2:$G$75,"Commercial")&amp;" row(s)")</f>
        <v>not listed</v>
      </c>
      <c r="L10" s="7" t="str">
        <f aca="false">IF(COUNTIFS(Rates_data!$B$2:$B$75,"Beth Israel Deaconess Medical Center",Rates_data!$D$2:$D$75,"95924",Rates_data!$Y$2:$Y$75,1,Rates_data!$F$2:$F$75,"Aetna",Rates_data!$G$2:$G$75,"Commercial")=0,"not listed",COUNTIFS(Rates_data!$B$2:$B$75,"Beth Israel Deaconess Medical Center",Rates_data!$D$2:$D$75,"95924",Rates_data!$Y$2:$Y$75,1,Rates_data!$F$2:$F$75,"Aetna",Rates_data!$G$2:$G$75,"Commercial")&amp;" row(s)")</f>
        <v>not listed</v>
      </c>
    </row>
    <row r="11" customFormat="false" ht="15" hidden="false" customHeight="false" outlineLevel="0" collapsed="false">
      <c r="A11" s="2" t="s">
        <v>49</v>
      </c>
      <c r="B11" s="7" t="s">
        <v>210</v>
      </c>
      <c r="C11" s="7" t="str">
        <f aca="false">IF(COUNTIFS(Rates_data!$B$2:$B$75,"Massachusetts General Hospital",Rates_data!$D$2:$D$75,"95923",Rates_data!$Y$2:$Y$75,1,Rates_data!$F$2:$F$75,"Cigna",Rates_data!$G$2:$G$75,"Commercial")=0,"not listed",COUNTIFS(Rates_data!$B$2:$B$75,"Massachusetts General Hospital",Rates_data!$D$2:$D$75,"95923",Rates_data!$Y$2:$Y$75,1,Rates_data!$F$2:$F$75,"Cigna",Rates_data!$G$2:$G$75,"Commercial")&amp;" row(s)")</f>
        <v>2 row(s)</v>
      </c>
      <c r="D11" s="7" t="str">
        <f aca="false">IF(COUNTIFS(Rates_data!$B$2:$B$75,"Massachusetts General Hospital",Rates_data!$D$2:$D$75,"95924",Rates_data!$Y$2:$Y$75,1,Rates_data!$F$2:$F$75,"Cigna",Rates_data!$G$2:$G$75,"Commercial")=0,"not listed",COUNTIFS(Rates_data!$B$2:$B$75,"Massachusetts General Hospital",Rates_data!$D$2:$D$75,"95924",Rates_data!$Y$2:$Y$75,1,Rates_data!$F$2:$F$75,"Cigna",Rates_data!$G$2:$G$75,"Commercial")&amp;" row(s)")</f>
        <v>2 row(s)</v>
      </c>
      <c r="E11" s="7" t="str">
        <f aca="false">IF(COUNTIFS(Rates_data!$B$2:$B$75,"Brigham and Women's Hospital",Rates_data!$D$2:$D$75,"95923",Rates_data!$Y$2:$Y$75,1,Rates_data!$F$2:$F$75,"Cigna",Rates_data!$G$2:$G$75,"Commercial")=0,"not listed",COUNTIFS(Rates_data!$B$2:$B$75,"Brigham and Women's Hospital",Rates_data!$D$2:$D$75,"95923",Rates_data!$Y$2:$Y$75,1,Rates_data!$F$2:$F$75,"Cigna",Rates_data!$G$2:$G$75,"Commercial")&amp;" row(s)")</f>
        <v>not listed</v>
      </c>
      <c r="F11" s="7" t="str">
        <f aca="false">IF(COUNTIFS(Rates_data!$B$2:$B$75,"Brigham and Women's Hospital",Rates_data!$D$2:$D$75,"95924",Rates_data!$Y$2:$Y$75,1,Rates_data!$F$2:$F$75,"Cigna",Rates_data!$G$2:$G$75,"Commercial")=0,"not listed",COUNTIFS(Rates_data!$B$2:$B$75,"Brigham and Women's Hospital",Rates_data!$D$2:$D$75,"95924",Rates_data!$Y$2:$Y$75,1,Rates_data!$F$2:$F$75,"Cigna",Rates_data!$G$2:$G$75,"Commercial")&amp;" row(s)")</f>
        <v>not listed</v>
      </c>
      <c r="G11" s="7" t="str">
        <f aca="false">IF(COUNTIFS(Rates_data!$B$2:$B$75,"Brigham and Women's Faulkner Hospital",Rates_data!$D$2:$D$75,"95923",Rates_data!$Y$2:$Y$75,1,Rates_data!$F$2:$F$75,"Cigna",Rates_data!$G$2:$G$75,"Commercial")=0,"not listed",COUNTIFS(Rates_data!$B$2:$B$75,"Brigham and Women's Faulkner Hospital",Rates_data!$D$2:$D$75,"95923",Rates_data!$Y$2:$Y$75,1,Rates_data!$F$2:$F$75,"Cigna",Rates_data!$G$2:$G$75,"Commercial")&amp;" row(s)")</f>
        <v>1 row(s)</v>
      </c>
      <c r="H11" s="7" t="str">
        <f aca="false">IF(COUNTIFS(Rates_data!$B$2:$B$75,"Brigham and Women's Faulkner Hospital",Rates_data!$D$2:$D$75,"95924",Rates_data!$Y$2:$Y$75,1,Rates_data!$F$2:$F$75,"Cigna",Rates_data!$G$2:$G$75,"Commercial")=0,"not listed",COUNTIFS(Rates_data!$B$2:$B$75,"Brigham and Women's Faulkner Hospital",Rates_data!$D$2:$D$75,"95924",Rates_data!$Y$2:$Y$75,1,Rates_data!$F$2:$F$75,"Cigna",Rates_data!$G$2:$G$75,"Commercial")&amp;" row(s)")</f>
        <v>1 row(s)</v>
      </c>
      <c r="I11" s="7" t="str">
        <f aca="false">IF(COUNTIFS(Rates_data!$B$2:$B$75,"Wentworth-Douglass Hospital",Rates_data!$D$2:$D$75,"95923",Rates_data!$Y$2:$Y$75,1,Rates_data!$F$2:$F$75,"Cigna",Rates_data!$G$2:$G$75,"Commercial")=0,"not listed",COUNTIFS(Rates_data!$B$2:$B$75,"Wentworth-Douglass Hospital",Rates_data!$D$2:$D$75,"95923",Rates_data!$Y$2:$Y$75,1,Rates_data!$F$2:$F$75,"Cigna",Rates_data!$G$2:$G$75,"Commercial")&amp;" row(s)")</f>
        <v>not listed</v>
      </c>
      <c r="J11" s="7" t="str">
        <f aca="false">IF(COUNTIFS(Rates_data!$B$2:$B$75,"Wentworth-Douglass Hospital",Rates_data!$D$2:$D$75,"95924",Rates_data!$Y$2:$Y$75,1,Rates_data!$F$2:$F$75,"Cigna",Rates_data!$G$2:$G$75,"Commercial")=0,"not listed",COUNTIFS(Rates_data!$B$2:$B$75,"Wentworth-Douglass Hospital",Rates_data!$D$2:$D$75,"95924",Rates_data!$Y$2:$Y$75,1,Rates_data!$F$2:$F$75,"Cigna",Rates_data!$G$2:$G$75,"Commercial")&amp;" row(s)")</f>
        <v>not listed</v>
      </c>
      <c r="K11" s="7" t="str">
        <f aca="false">IF(COUNTIFS(Rates_data!$B$2:$B$75,"Beth Israel Deaconess Medical Center",Rates_data!$D$2:$D$75,"95923",Rates_data!$Y$2:$Y$75,1,Rates_data!$F$2:$F$75,"Cigna",Rates_data!$G$2:$G$75,"Commercial")=0,"not listed",COUNTIFS(Rates_data!$B$2:$B$75,"Beth Israel Deaconess Medical Center",Rates_data!$D$2:$D$75,"95923",Rates_data!$Y$2:$Y$75,1,Rates_data!$F$2:$F$75,"Cigna",Rates_data!$G$2:$G$75,"Commercial")&amp;" row(s)")</f>
        <v>not listed</v>
      </c>
      <c r="L11" s="7" t="str">
        <f aca="false">IF(COUNTIFS(Rates_data!$B$2:$B$75,"Beth Israel Deaconess Medical Center",Rates_data!$D$2:$D$75,"95924",Rates_data!$Y$2:$Y$75,1,Rates_data!$F$2:$F$75,"Cigna",Rates_data!$G$2:$G$75,"Commercial")=0,"not listed",COUNTIFS(Rates_data!$B$2:$B$75,"Beth Israel Deaconess Medical Center",Rates_data!$D$2:$D$75,"95924",Rates_data!$Y$2:$Y$75,1,Rates_data!$F$2:$F$75,"Cigna",Rates_data!$G$2:$G$75,"Commercial")&amp;" row(s)")</f>
        <v>not listed</v>
      </c>
    </row>
    <row r="12" customFormat="false" ht="15" hidden="false" customHeight="false" outlineLevel="0" collapsed="false">
      <c r="A12" s="2" t="s">
        <v>193</v>
      </c>
      <c r="B12" s="7" t="s">
        <v>211</v>
      </c>
      <c r="C12" s="7" t="str">
        <f aca="false">IF(COUNTIFS(Rates_data!$B$2:$B$75,"Massachusetts General Hospital",Rates_data!$D$2:$D$75,"95923",Rates_data!$Y$2:$Y$75,1,Rates_data!$G$2:$G$75,"MassHealth / dual managed care")=0,"not listed",COUNTIFS(Rates_data!$B$2:$B$75,"Massachusetts General Hospital",Rates_data!$D$2:$D$75,"95923",Rates_data!$Y$2:$Y$75,1,Rates_data!$G$2:$G$75,"MassHealth / dual managed care")&amp;" row(s)")</f>
        <v>not listed</v>
      </c>
      <c r="D12" s="7" t="str">
        <f aca="false">IF(COUNTIFS(Rates_data!$B$2:$B$75,"Massachusetts General Hospital",Rates_data!$D$2:$D$75,"95924",Rates_data!$Y$2:$Y$75,1,Rates_data!$G$2:$G$75,"MassHealth / dual managed care")=0,"not listed",COUNTIFS(Rates_data!$B$2:$B$75,"Massachusetts General Hospital",Rates_data!$D$2:$D$75,"95924",Rates_data!$Y$2:$Y$75,1,Rates_data!$G$2:$G$75,"MassHealth / dual managed care")&amp;" row(s)")</f>
        <v>1 row(s)</v>
      </c>
      <c r="E12" s="7" t="str">
        <f aca="false">IF(COUNTIFS(Rates_data!$B$2:$B$75,"Brigham and Women's Hospital",Rates_data!$D$2:$D$75,"95923",Rates_data!$Y$2:$Y$75,1,Rates_data!$G$2:$G$75,"MassHealth / dual managed care")=0,"not listed",COUNTIFS(Rates_data!$B$2:$B$75,"Brigham and Women's Hospital",Rates_data!$D$2:$D$75,"95923",Rates_data!$Y$2:$Y$75,1,Rates_data!$G$2:$G$75,"MassHealth / dual managed care")&amp;" row(s)")</f>
        <v>not listed</v>
      </c>
      <c r="F12" s="7" t="str">
        <f aca="false">IF(COUNTIFS(Rates_data!$B$2:$B$75,"Brigham and Women's Hospital",Rates_data!$D$2:$D$75,"95924",Rates_data!$Y$2:$Y$75,1,Rates_data!$G$2:$G$75,"MassHealth / dual managed care")=0,"not listed",COUNTIFS(Rates_data!$B$2:$B$75,"Brigham and Women's Hospital",Rates_data!$D$2:$D$75,"95924",Rates_data!$Y$2:$Y$75,1,Rates_data!$G$2:$G$75,"MassHealth / dual managed care")&amp;" row(s)")</f>
        <v>not listed</v>
      </c>
      <c r="G12" s="7" t="str">
        <f aca="false">IF(COUNTIFS(Rates_data!$B$2:$B$75,"Brigham and Women's Faulkner Hospital",Rates_data!$D$2:$D$75,"95923",Rates_data!$Y$2:$Y$75,1,Rates_data!$G$2:$G$75,"MassHealth / dual managed care")=0,"not listed",COUNTIFS(Rates_data!$B$2:$B$75,"Brigham and Women's Faulkner Hospital",Rates_data!$D$2:$D$75,"95923",Rates_data!$Y$2:$Y$75,1,Rates_data!$G$2:$G$75,"MassHealth / dual managed care")&amp;" row(s)")</f>
        <v>not listed</v>
      </c>
      <c r="H12" s="7" t="str">
        <f aca="false">IF(COUNTIFS(Rates_data!$B$2:$B$75,"Brigham and Women's Faulkner Hospital",Rates_data!$D$2:$D$75,"95924",Rates_data!$Y$2:$Y$75,1,Rates_data!$G$2:$G$75,"MassHealth / dual managed care")=0,"not listed",COUNTIFS(Rates_data!$B$2:$B$75,"Brigham and Women's Faulkner Hospital",Rates_data!$D$2:$D$75,"95924",Rates_data!$Y$2:$Y$75,1,Rates_data!$G$2:$G$75,"MassHealth / dual managed care")&amp;" row(s)")</f>
        <v>not listed</v>
      </c>
      <c r="I12" s="7" t="str">
        <f aca="false">IF(COUNTIFS(Rates_data!$B$2:$B$75,"Wentworth-Douglass Hospital",Rates_data!$D$2:$D$75,"95923",Rates_data!$Y$2:$Y$75,1,Rates_data!$G$2:$G$75,"MassHealth / dual managed care")=0,"not listed",COUNTIFS(Rates_data!$B$2:$B$75,"Wentworth-Douglass Hospital",Rates_data!$D$2:$D$75,"95923",Rates_data!$Y$2:$Y$75,1,Rates_data!$G$2:$G$75,"MassHealth / dual managed care")&amp;" row(s)")</f>
        <v>not listed</v>
      </c>
      <c r="J12" s="7" t="str">
        <f aca="false">IF(COUNTIFS(Rates_data!$B$2:$B$75,"Wentworth-Douglass Hospital",Rates_data!$D$2:$D$75,"95924",Rates_data!$Y$2:$Y$75,1,Rates_data!$G$2:$G$75,"MassHealth / dual managed care")=0,"not listed",COUNTIFS(Rates_data!$B$2:$B$75,"Wentworth-Douglass Hospital",Rates_data!$D$2:$D$75,"95924",Rates_data!$Y$2:$Y$75,1,Rates_data!$G$2:$G$75,"MassHealth / dual managed care")&amp;" row(s)")</f>
        <v>not listed</v>
      </c>
      <c r="K12" s="7" t="str">
        <f aca="false">IF(COUNTIFS(Rates_data!$B$2:$B$75,"Beth Israel Deaconess Medical Center",Rates_data!$D$2:$D$75,"95923",Rates_data!$Y$2:$Y$75,1,Rates_data!$G$2:$G$75,"MassHealth / dual managed care")=0,"not listed",COUNTIFS(Rates_data!$B$2:$B$75,"Beth Israel Deaconess Medical Center",Rates_data!$D$2:$D$75,"95923",Rates_data!$Y$2:$Y$75,1,Rates_data!$G$2:$G$75,"MassHealth / dual managed care")&amp;" row(s)")</f>
        <v>not listed</v>
      </c>
      <c r="L12" s="7" t="str">
        <f aca="false">IF(COUNTIFS(Rates_data!$B$2:$B$75,"Beth Israel Deaconess Medical Center",Rates_data!$D$2:$D$75,"95924",Rates_data!$Y$2:$Y$75,1,Rates_data!$G$2:$G$75,"MassHealth / dual managed care")=0,"not listed",COUNTIFS(Rates_data!$B$2:$B$75,"Beth Israel Deaconess Medical Center",Rates_data!$D$2:$D$75,"95924",Rates_data!$Y$2:$Y$75,1,Rates_data!$G$2:$G$75,"MassHealth / dual managed care")&amp;" row(s)")</f>
        <v>not listed</v>
      </c>
    </row>
    <row r="13" customFormat="false" ht="15" hidden="false" customHeight="false" outlineLevel="0" collapsed="false">
      <c r="A13" s="2" t="s">
        <v>195</v>
      </c>
      <c r="B13" s="7" t="s">
        <v>212</v>
      </c>
      <c r="C13" s="7" t="str">
        <f aca="false">IF(COUNTIFS(Rates_data!$B$2:$B$75,"Massachusetts General Hospital",Rates_data!$D$2:$D$75,"95923",Rates_data!$Y$2:$Y$75,1,Rates_data!$G$2:$G$75,"Medicare Advantage")=0,"not listed",COUNTIFS(Rates_data!$B$2:$B$75,"Massachusetts General Hospital",Rates_data!$D$2:$D$75,"95923",Rates_data!$Y$2:$Y$75,1,Rates_data!$G$2:$G$75,"Medicare Advantage")&amp;" row(s)")</f>
        <v>not listed</v>
      </c>
      <c r="D13" s="7" t="str">
        <f aca="false">IF(COUNTIFS(Rates_data!$B$2:$B$75,"Massachusetts General Hospital",Rates_data!$D$2:$D$75,"95924",Rates_data!$Y$2:$Y$75,1,Rates_data!$G$2:$G$75,"Medicare Advantage")=0,"not listed",COUNTIFS(Rates_data!$B$2:$B$75,"Massachusetts General Hospital",Rates_data!$D$2:$D$75,"95924",Rates_data!$Y$2:$Y$75,1,Rates_data!$G$2:$G$75,"Medicare Advantage")&amp;" row(s)")</f>
        <v>5 row(s)</v>
      </c>
      <c r="E13" s="7" t="str">
        <f aca="false">IF(COUNTIFS(Rates_data!$B$2:$B$75,"Brigham and Women's Hospital",Rates_data!$D$2:$D$75,"95923",Rates_data!$Y$2:$Y$75,1,Rates_data!$G$2:$G$75,"Medicare Advantage")=0,"not listed",COUNTIFS(Rates_data!$B$2:$B$75,"Brigham and Women's Hospital",Rates_data!$D$2:$D$75,"95923",Rates_data!$Y$2:$Y$75,1,Rates_data!$G$2:$G$75,"Medicare Advantage")&amp;" row(s)")</f>
        <v>not listed</v>
      </c>
      <c r="F13" s="7" t="str">
        <f aca="false">IF(COUNTIFS(Rates_data!$B$2:$B$75,"Brigham and Women's Hospital",Rates_data!$D$2:$D$75,"95924",Rates_data!$Y$2:$Y$75,1,Rates_data!$G$2:$G$75,"Medicare Advantage")=0,"not listed",COUNTIFS(Rates_data!$B$2:$B$75,"Brigham and Women's Hospital",Rates_data!$D$2:$D$75,"95924",Rates_data!$Y$2:$Y$75,1,Rates_data!$G$2:$G$75,"Medicare Advantage")&amp;" row(s)")</f>
        <v>not listed</v>
      </c>
      <c r="G13" s="7" t="str">
        <f aca="false">IF(COUNTIFS(Rates_data!$B$2:$B$75,"Brigham and Women's Faulkner Hospital",Rates_data!$D$2:$D$75,"95923",Rates_data!$Y$2:$Y$75,1,Rates_data!$G$2:$G$75,"Medicare Advantage")=0,"not listed",COUNTIFS(Rates_data!$B$2:$B$75,"Brigham and Women's Faulkner Hospital",Rates_data!$D$2:$D$75,"95923",Rates_data!$Y$2:$Y$75,1,Rates_data!$G$2:$G$75,"Medicare Advantage")&amp;" row(s)")</f>
        <v>2 row(s)</v>
      </c>
      <c r="H13" s="7" t="str">
        <f aca="false">IF(COUNTIFS(Rates_data!$B$2:$B$75,"Brigham and Women's Faulkner Hospital",Rates_data!$D$2:$D$75,"95924",Rates_data!$Y$2:$Y$75,1,Rates_data!$G$2:$G$75,"Medicare Advantage")=0,"not listed",COUNTIFS(Rates_data!$B$2:$B$75,"Brigham and Women's Faulkner Hospital",Rates_data!$D$2:$D$75,"95924",Rates_data!$Y$2:$Y$75,1,Rates_data!$G$2:$G$75,"Medicare Advantage")&amp;" row(s)")</f>
        <v>7 row(s)</v>
      </c>
      <c r="I13" s="7" t="str">
        <f aca="false">IF(COUNTIFS(Rates_data!$B$2:$B$75,"Wentworth-Douglass Hospital",Rates_data!$D$2:$D$75,"95923",Rates_data!$Y$2:$Y$75,1,Rates_data!$G$2:$G$75,"Medicare Advantage")=0,"not listed",COUNTIFS(Rates_data!$B$2:$B$75,"Wentworth-Douglass Hospital",Rates_data!$D$2:$D$75,"95923",Rates_data!$Y$2:$Y$75,1,Rates_data!$G$2:$G$75,"Medicare Advantage")&amp;" row(s)")</f>
        <v>not listed</v>
      </c>
      <c r="J13" s="7" t="str">
        <f aca="false">IF(COUNTIFS(Rates_data!$B$2:$B$75,"Wentworth-Douglass Hospital",Rates_data!$D$2:$D$75,"95924",Rates_data!$Y$2:$Y$75,1,Rates_data!$G$2:$G$75,"Medicare Advantage")=0,"not listed",COUNTIFS(Rates_data!$B$2:$B$75,"Wentworth-Douglass Hospital",Rates_data!$D$2:$D$75,"95924",Rates_data!$Y$2:$Y$75,1,Rates_data!$G$2:$G$75,"Medicare Advantage")&amp;" row(s)")</f>
        <v>not listed</v>
      </c>
      <c r="K13" s="7" t="str">
        <f aca="false">IF(COUNTIFS(Rates_data!$B$2:$B$75,"Beth Israel Deaconess Medical Center",Rates_data!$D$2:$D$75,"95923",Rates_data!$Y$2:$Y$75,1,Rates_data!$G$2:$G$75,"Medicare Advantage")=0,"not listed",COUNTIFS(Rates_data!$B$2:$B$75,"Beth Israel Deaconess Medical Center",Rates_data!$D$2:$D$75,"95923",Rates_data!$Y$2:$Y$75,1,Rates_data!$G$2:$G$75,"Medicare Advantage")&amp;" row(s)")</f>
        <v>not listed</v>
      </c>
      <c r="L13" s="7" t="str">
        <f aca="false">IF(COUNTIFS(Rates_data!$B$2:$B$75,"Beth Israel Deaconess Medical Center",Rates_data!$D$2:$D$75,"95924",Rates_data!$Y$2:$Y$75,1,Rates_data!$G$2:$G$75,"Medicare Advantage")=0,"not listed",COUNTIFS(Rates_data!$B$2:$B$75,"Beth Israel Deaconess Medical Center",Rates_data!$D$2:$D$75,"95924",Rates_data!$Y$2:$Y$75,1,Rates_data!$G$2:$G$75,"Medicare Advantage")&amp;" row(s)")</f>
        <v>not listed</v>
      </c>
    </row>
    <row r="14" customFormat="false" ht="15" hidden="false" customHeight="false" outlineLevel="0" collapsed="false">
      <c r="A14" s="2" t="s">
        <v>213</v>
      </c>
      <c r="B14" s="7" t="s">
        <v>214</v>
      </c>
      <c r="C14" s="7" t="str">
        <f aca="false">IF(COUNTIFS(Rates_data!$B$2:$B$75,"Massachusetts General Hospital",Rates_data!$D$2:$D$75,"95923",Rates_data!$Y$2:$Y$75,1,Rates_data!$G$2:$G$75,"Medicare FFS")=0,"not listed",COUNTIFS(Rates_data!$B$2:$B$75,"Massachusetts General Hospital",Rates_data!$D$2:$D$75,"95923",Rates_data!$Y$2:$Y$75,1,Rates_data!$G$2:$G$75,"Medicare FFS")&amp;" row(s)")</f>
        <v>not listed</v>
      </c>
      <c r="D14" s="7" t="str">
        <f aca="false">IF(COUNTIFS(Rates_data!$B$2:$B$75,"Massachusetts General Hospital",Rates_data!$D$2:$D$75,"95924",Rates_data!$Y$2:$Y$75,1,Rates_data!$G$2:$G$75,"Medicare FFS")=0,"not listed",COUNTIFS(Rates_data!$B$2:$B$75,"Massachusetts General Hospital",Rates_data!$D$2:$D$75,"95924",Rates_data!$Y$2:$Y$75,1,Rates_data!$G$2:$G$75,"Medicare FFS")&amp;" row(s)")</f>
        <v>1 row(s)</v>
      </c>
      <c r="E14" s="7" t="str">
        <f aca="false">IF(COUNTIFS(Rates_data!$B$2:$B$75,"Brigham and Women's Hospital",Rates_data!$D$2:$D$75,"95923",Rates_data!$Y$2:$Y$75,1,Rates_data!$G$2:$G$75,"Medicare FFS")=0,"not listed",COUNTIFS(Rates_data!$B$2:$B$75,"Brigham and Women's Hospital",Rates_data!$D$2:$D$75,"95923",Rates_data!$Y$2:$Y$75,1,Rates_data!$G$2:$G$75,"Medicare FFS")&amp;" row(s)")</f>
        <v>not listed</v>
      </c>
      <c r="F14" s="7" t="str">
        <f aca="false">IF(COUNTIFS(Rates_data!$B$2:$B$75,"Brigham and Women's Hospital",Rates_data!$D$2:$D$75,"95924",Rates_data!$Y$2:$Y$75,1,Rates_data!$G$2:$G$75,"Medicare FFS")=0,"not listed",COUNTIFS(Rates_data!$B$2:$B$75,"Brigham and Women's Hospital",Rates_data!$D$2:$D$75,"95924",Rates_data!$Y$2:$Y$75,1,Rates_data!$G$2:$G$75,"Medicare FFS")&amp;" row(s)")</f>
        <v>not listed</v>
      </c>
      <c r="G14" s="7" t="str">
        <f aca="false">IF(COUNTIFS(Rates_data!$B$2:$B$75,"Brigham and Women's Faulkner Hospital",Rates_data!$D$2:$D$75,"95923",Rates_data!$Y$2:$Y$75,1,Rates_data!$G$2:$G$75,"Medicare FFS")=0,"not listed",COUNTIFS(Rates_data!$B$2:$B$75,"Brigham and Women's Faulkner Hospital",Rates_data!$D$2:$D$75,"95923",Rates_data!$Y$2:$Y$75,1,Rates_data!$G$2:$G$75,"Medicare FFS")&amp;" row(s)")</f>
        <v>1 row(s)</v>
      </c>
      <c r="H14" s="7" t="str">
        <f aca="false">IF(COUNTIFS(Rates_data!$B$2:$B$75,"Brigham and Women's Faulkner Hospital",Rates_data!$D$2:$D$75,"95924",Rates_data!$Y$2:$Y$75,1,Rates_data!$G$2:$G$75,"Medicare FFS")=0,"not listed",COUNTIFS(Rates_data!$B$2:$B$75,"Brigham and Women's Faulkner Hospital",Rates_data!$D$2:$D$75,"95924",Rates_data!$Y$2:$Y$75,1,Rates_data!$G$2:$G$75,"Medicare FFS")&amp;" row(s)")</f>
        <v>1 row(s)</v>
      </c>
      <c r="I14" s="7" t="str">
        <f aca="false">IF(COUNTIFS(Rates_data!$B$2:$B$75,"Wentworth-Douglass Hospital",Rates_data!$D$2:$D$75,"95923",Rates_data!$Y$2:$Y$75,1,Rates_data!$G$2:$G$75,"Medicare FFS")=0,"not listed",COUNTIFS(Rates_data!$B$2:$B$75,"Wentworth-Douglass Hospital",Rates_data!$D$2:$D$75,"95923",Rates_data!$Y$2:$Y$75,1,Rates_data!$G$2:$G$75,"Medicare FFS")&amp;" row(s)")</f>
        <v>not listed</v>
      </c>
      <c r="J14" s="7" t="str">
        <f aca="false">IF(COUNTIFS(Rates_data!$B$2:$B$75,"Wentworth-Douglass Hospital",Rates_data!$D$2:$D$75,"95924",Rates_data!$Y$2:$Y$75,1,Rates_data!$G$2:$G$75,"Medicare FFS")=0,"not listed",COUNTIFS(Rates_data!$B$2:$B$75,"Wentworth-Douglass Hospital",Rates_data!$D$2:$D$75,"95924",Rates_data!$Y$2:$Y$75,1,Rates_data!$G$2:$G$75,"Medicare FFS")&amp;" row(s)")</f>
        <v>not listed</v>
      </c>
      <c r="K14" s="7" t="str">
        <f aca="false">IF(COUNTIFS(Rates_data!$B$2:$B$75,"Beth Israel Deaconess Medical Center",Rates_data!$D$2:$D$75,"95923",Rates_data!$Y$2:$Y$75,1,Rates_data!$G$2:$G$75,"Medicare FFS")=0,"not listed",COUNTIFS(Rates_data!$B$2:$B$75,"Beth Israel Deaconess Medical Center",Rates_data!$D$2:$D$75,"95923",Rates_data!$Y$2:$Y$75,1,Rates_data!$G$2:$G$75,"Medicare FFS")&amp;" row(s)")</f>
        <v>not listed</v>
      </c>
      <c r="L14" s="7" t="str">
        <f aca="false">IF(COUNTIFS(Rates_data!$B$2:$B$75,"Beth Israel Deaconess Medical Center",Rates_data!$D$2:$D$75,"95924",Rates_data!$Y$2:$Y$75,1,Rates_data!$G$2:$G$75,"Medicare FFS")=0,"not listed",COUNTIFS(Rates_data!$B$2:$B$75,"Beth Israel Deaconess Medical Center",Rates_data!$D$2:$D$75,"95924",Rates_data!$Y$2:$Y$75,1,Rates_data!$G$2:$G$75,"Medicare FFS")&amp;" row(s)")</f>
        <v>not listed</v>
      </c>
    </row>
    <row r="16" customFormat="false" ht="15" hidden="false" customHeight="false" outlineLevel="0" collapsed="false">
      <c r="A16" s="5" t="s">
        <v>215</v>
      </c>
    </row>
    <row r="17" customFormat="false" ht="15" hidden="false" customHeight="false" outlineLevel="0" collapsed="false">
      <c r="A17" s="5" t="s">
        <v>216</v>
      </c>
    </row>
    <row r="18" customFormat="false" ht="15" hidden="false" customHeight="false" outlineLevel="0" collapsed="false">
      <c r="A18" s="5" t="s">
        <v>217</v>
      </c>
    </row>
    <row r="19" customFormat="false" ht="15" hidden="false" customHeight="false" outlineLevel="0" collapsed="false">
      <c r="A19" s="5"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7" min="6" style="0" width="14"/>
    <col collapsed="false" customWidth="true" hidden="false" outlineLevel="0" max="8" min="8" style="0" width="80"/>
  </cols>
  <sheetData>
    <row r="1" customFormat="false" ht="16.15" hidden="false" customHeight="false" outlineLevel="0" collapsed="false">
      <c r="A1" s="1" t="s">
        <v>219</v>
      </c>
    </row>
    <row r="2" customFormat="false" ht="15" hidden="false" customHeight="false" outlineLevel="0" collapsed="false">
      <c r="A2" s="5" t="s">
        <v>220</v>
      </c>
    </row>
    <row r="4" customFormat="false" ht="45" hidden="false" customHeight="true" outlineLevel="0" collapsed="false">
      <c r="A4" s="6" t="s">
        <v>221</v>
      </c>
      <c r="B4" s="6" t="s">
        <v>24</v>
      </c>
      <c r="C4" s="6" t="s">
        <v>222</v>
      </c>
      <c r="D4" s="6" t="s">
        <v>223</v>
      </c>
      <c r="E4" s="6" t="s">
        <v>224</v>
      </c>
      <c r="F4" s="6" t="s">
        <v>225</v>
      </c>
      <c r="G4" s="6" t="s">
        <v>226</v>
      </c>
      <c r="H4" s="6" t="s">
        <v>227</v>
      </c>
    </row>
    <row r="5" customFormat="false" ht="15" hidden="false" customHeight="false" outlineLevel="0" collapsed="false">
      <c r="A5" s="7" t="s">
        <v>228</v>
      </c>
      <c r="B5" s="7" t="s">
        <v>60</v>
      </c>
      <c r="C5" s="17" t="n">
        <v>94</v>
      </c>
      <c r="D5" s="7" t="n">
        <f aca="false">COUNTIFS(Rates_data!$B$2:$B$75,"Massachusetts General Hospital",Rates_data!$D$2:$D$75,"95924",Rates_data!$G$2:$G$75,"Medicare FFS")</f>
        <v>1</v>
      </c>
      <c r="E5" s="14" t="str">
        <f aca="false">Rates_data!V27</f>
        <v>84</v>
      </c>
      <c r="F5" s="11" t="n">
        <f aca="false">Rates_data!P27</f>
        <v>369.77</v>
      </c>
      <c r="G5" s="7" t="n">
        <f aca="false">COUNTIFS(Rates_data!$B$2:$B$75,"Massachusetts General Hospital",Rates_data!$D$2:$D$75,"95924",Rates_data!$G$2:$G$75,"Medicare Advantage")</f>
        <v>5</v>
      </c>
      <c r="H5" s="3" t="s">
        <v>229</v>
      </c>
    </row>
    <row r="6" customFormat="false" ht="23.85" hidden="false" customHeight="false" outlineLevel="0" collapsed="false">
      <c r="A6" s="7" t="s">
        <v>228</v>
      </c>
      <c r="B6" s="7" t="s">
        <v>45</v>
      </c>
      <c r="C6" s="17" t="n">
        <v>95</v>
      </c>
      <c r="D6" s="7" t="n">
        <f aca="false">COUNTIFS(Rates_data!$B$2:$B$75,"Massachusetts General Hospital",Rates_data!$D$2:$D$75,"95923",Rates_data!$G$2:$G$75,"Medicare FFS")</f>
        <v>0</v>
      </c>
      <c r="E6" s="7" t="s">
        <v>161</v>
      </c>
      <c r="F6" s="7" t="s">
        <v>161</v>
      </c>
      <c r="G6" s="7" t="n">
        <f aca="false">COUNTIFS(Rates_data!$B$2:$B$75,"Massachusetts General Hospital",Rates_data!$D$2:$D$75,"95923",Rates_data!$G$2:$G$75,"Medicare Advantage")</f>
        <v>0</v>
      </c>
      <c r="H6" s="3" t="s">
        <v>230</v>
      </c>
    </row>
    <row r="7" customFormat="false" ht="15" hidden="false" customHeight="false" outlineLevel="0" collapsed="false">
      <c r="A7" s="7" t="s">
        <v>231</v>
      </c>
      <c r="B7" s="7" t="s">
        <v>60</v>
      </c>
      <c r="C7" s="17" t="n">
        <v>114</v>
      </c>
      <c r="D7" s="7" t="n">
        <f aca="false">COUNTIFS(Rates_data!$B$2:$B$75,"Brigham and Women's Faulkner Hospital",Rates_data!$D$2:$D$75,"95924",Rates_data!$G$2:$G$75,"Medicare FFS")</f>
        <v>1</v>
      </c>
      <c r="E7" s="14" t="str">
        <f aca="false">Rates_data!V53</f>
        <v>121</v>
      </c>
      <c r="F7" s="11" t="n">
        <f aca="false">Rates_data!P53</f>
        <v>369.81</v>
      </c>
      <c r="G7" s="7" t="n">
        <f aca="false">COUNTIFS(Rates_data!$B$2:$B$75,"Brigham and Women's Faulkner Hospital",Rates_data!$D$2:$D$75,"95924",Rates_data!$G$2:$G$75,"Medicare Advantage")</f>
        <v>7</v>
      </c>
      <c r="H7" s="3" t="s">
        <v>232</v>
      </c>
    </row>
    <row r="8" customFormat="false" ht="15" hidden="false" customHeight="false" outlineLevel="0" collapsed="false">
      <c r="A8" s="7" t="s">
        <v>231</v>
      </c>
      <c r="B8" s="7" t="s">
        <v>45</v>
      </c>
      <c r="C8" s="17" t="n">
        <v>114</v>
      </c>
      <c r="D8" s="7" t="n">
        <f aca="false">COUNTIFS(Rates_data!$B$2:$B$75,"Brigham and Women's Faulkner Hospital",Rates_data!$D$2:$D$75,"95923",Rates_data!$G$2:$G$75,"Medicare FFS")</f>
        <v>1</v>
      </c>
      <c r="E8" s="14" t="str">
        <f aca="false">Rates_data!V40</f>
        <v>1 through 10</v>
      </c>
      <c r="F8" s="11" t="n">
        <f aca="false">Rates_data!P40</f>
        <v>153.08</v>
      </c>
      <c r="G8" s="7" t="n">
        <f aca="false">COUNTIFS(Rates_data!$B$2:$B$75,"Brigham and Women's Faulkner Hospital",Rates_data!$D$2:$D$75,"95923",Rates_data!$G$2:$G$75,"Medicare Advantage")</f>
        <v>2</v>
      </c>
      <c r="H8" s="3" t="s">
        <v>233</v>
      </c>
    </row>
    <row r="9" customFormat="false" ht="15" hidden="false" customHeight="false" outlineLevel="0" collapsed="false">
      <c r="A9" s="7" t="s">
        <v>234</v>
      </c>
      <c r="B9" s="7" t="s">
        <v>60</v>
      </c>
      <c r="C9" s="17" t="n">
        <v>99</v>
      </c>
      <c r="D9" s="7" t="n">
        <f aca="false">COUNTIFS(Rates_data!$B$2:$B$75,"Beth Israel Deaconess Medical Center",Rates_data!$D$2:$D$75,"95924",Rates_data!$G$2:$G$75,"Medicare FFS")</f>
        <v>0</v>
      </c>
      <c r="E9" s="7" t="s">
        <v>161</v>
      </c>
      <c r="F9" s="7" t="s">
        <v>161</v>
      </c>
      <c r="G9" s="7" t="n">
        <f aca="false">COUNTIFS(Rates_data!$B$2:$B$75,"Beth Israel Deaconess Medical Center",Rates_data!$D$2:$D$75,"95924",Rates_data!$G$2:$G$75,"Medicare Advantage")</f>
        <v>0</v>
      </c>
      <c r="H9" s="3" t="s">
        <v>235</v>
      </c>
    </row>
    <row r="10" customFormat="false" ht="15" hidden="false" customHeight="false" outlineLevel="0" collapsed="false">
      <c r="A10" s="7" t="s">
        <v>234</v>
      </c>
      <c r="B10" s="7" t="s">
        <v>45</v>
      </c>
      <c r="C10" s="17" t="n">
        <v>99</v>
      </c>
      <c r="D10" s="7" t="n">
        <f aca="false">COUNTIFS(Rates_data!$B$2:$B$75,"Beth Israel Deaconess Medical Center",Rates_data!$D$2:$D$75,"95923",Rates_data!$G$2:$G$75,"Medicare FFS")</f>
        <v>0</v>
      </c>
      <c r="E10" s="7" t="s">
        <v>161</v>
      </c>
      <c r="F10" s="7" t="s">
        <v>161</v>
      </c>
      <c r="G10" s="7" t="n">
        <f aca="false">COUNTIFS(Rates_data!$B$2:$B$75,"Beth Israel Deaconess Medical Center",Rates_data!$D$2:$D$75,"95923",Rates_data!$G$2:$G$75,"Medicare Advantage")</f>
        <v>0</v>
      </c>
      <c r="H10" s="3"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5" min="3" style="0" width="13"/>
    <col collapsed="false" customWidth="true" hidden="false" outlineLevel="0" max="6" min="6" style="0" width="12"/>
    <col collapsed="false" customWidth="true" hidden="false" outlineLevel="0" max="8" min="7" style="0" width="9"/>
    <col collapsed="false" customWidth="true" hidden="false" outlineLevel="0" max="9" min="9" style="0" width="13"/>
    <col collapsed="false" customWidth="true" hidden="false" outlineLevel="0" max="10" min="10" style="0" width="12"/>
    <col collapsed="false" customWidth="true" hidden="false" outlineLevel="0" max="12" min="11" style="0" width="11"/>
    <col collapsed="false" customWidth="true" hidden="false" outlineLevel="0" max="13" min="13" style="0" width="70"/>
  </cols>
  <sheetData>
    <row r="1" customFormat="false" ht="16.15" hidden="false" customHeight="false" outlineLevel="0" collapsed="false">
      <c r="A1" s="1" t="s">
        <v>237</v>
      </c>
    </row>
    <row r="2" customFormat="false" ht="15" hidden="false" customHeight="false" outlineLevel="0" collapsed="false">
      <c r="A2" s="5" t="s">
        <v>238</v>
      </c>
    </row>
    <row r="4" customFormat="false" ht="45" hidden="false" customHeight="true" outlineLevel="0" collapsed="false">
      <c r="A4" s="6" t="s">
        <v>23</v>
      </c>
      <c r="B4" s="6" t="s">
        <v>24</v>
      </c>
      <c r="C4" s="6" t="s">
        <v>239</v>
      </c>
      <c r="D4" s="6" t="s">
        <v>240</v>
      </c>
      <c r="E4" s="6" t="s">
        <v>241</v>
      </c>
      <c r="F4" s="6" t="s">
        <v>242</v>
      </c>
      <c r="G4" s="6" t="s">
        <v>243</v>
      </c>
      <c r="H4" s="6" t="s">
        <v>244</v>
      </c>
      <c r="I4" s="6" t="s">
        <v>245</v>
      </c>
      <c r="J4" s="6" t="s">
        <v>246</v>
      </c>
      <c r="K4" s="6" t="s">
        <v>247</v>
      </c>
      <c r="L4" s="6" t="s">
        <v>248</v>
      </c>
      <c r="M4" s="6" t="s">
        <v>249</v>
      </c>
    </row>
    <row r="5" customFormat="false" ht="22.35" hidden="false" customHeight="false" outlineLevel="0" collapsed="false">
      <c r="A5" s="7" t="s">
        <v>79</v>
      </c>
      <c r="B5" s="7" t="s">
        <v>40</v>
      </c>
      <c r="C5" s="11" t="n">
        <f aca="false">Rates_data!P32</f>
        <v>185.81</v>
      </c>
      <c r="D5" s="8" t="n">
        <v>185.81</v>
      </c>
      <c r="E5" s="11" t="n">
        <f aca="false">IF(Rates_data!S32="","",Rates_data!S32)</f>
        <v>185.81</v>
      </c>
      <c r="F5" s="14" t="str">
        <f aca="false">Rates_data!V32</f>
        <v>1 through 10</v>
      </c>
      <c r="G5" s="14" t="str">
        <f aca="false">Reference!$C$18</f>
        <v>S</v>
      </c>
      <c r="H5" s="14" t="str">
        <f aca="false">Reference!$D$18</f>
        <v>5721</v>
      </c>
      <c r="I5" s="11" t="n">
        <f aca="false">Reference!$E$18</f>
        <v>131.46</v>
      </c>
      <c r="J5" s="8" t="n">
        <f aca="false">C5-I5</f>
        <v>54.35</v>
      </c>
      <c r="K5" s="13" t="n">
        <f aca="false">C5/I5</f>
        <v>1.41343374410467</v>
      </c>
      <c r="L5" s="18" t="n">
        <f aca="false">(K5-(1-Reference!$E$24))/Reference!$E$24</f>
        <v>1.68905624017445</v>
      </c>
      <c r="M5" s="12" t="s">
        <v>250</v>
      </c>
    </row>
    <row r="6" customFormat="false" ht="22.35" hidden="false" customHeight="false" outlineLevel="0" collapsed="false">
      <c r="A6" s="7" t="s">
        <v>79</v>
      </c>
      <c r="B6" s="7" t="s">
        <v>45</v>
      </c>
      <c r="C6" s="11" t="n">
        <f aca="false">Rates_data!P40</f>
        <v>153.08</v>
      </c>
      <c r="D6" s="8" t="n">
        <v>153.08</v>
      </c>
      <c r="E6" s="11" t="n">
        <f aca="false">IF(Rates_data!S40="","",Rates_data!S40)</f>
        <v>306.16</v>
      </c>
      <c r="F6" s="14" t="str">
        <f aca="false">Rates_data!V40</f>
        <v>1 through 10</v>
      </c>
      <c r="G6" s="14" t="str">
        <f aca="false">Reference!$C$20</f>
        <v>Q1</v>
      </c>
      <c r="H6" s="14" t="str">
        <f aca="false">Reference!$D$20</f>
        <v>5734</v>
      </c>
      <c r="I6" s="11" t="n">
        <f aca="false">Reference!$E$20</f>
        <v>135.93</v>
      </c>
      <c r="J6" s="8" t="n">
        <f aca="false">C6-I6</f>
        <v>17.15</v>
      </c>
      <c r="K6" s="13" t="n">
        <f aca="false">C6/I6</f>
        <v>1.12616788052674</v>
      </c>
      <c r="L6" s="18" t="n">
        <f aca="false">(K6-(1-Reference!$E$24))/Reference!$E$24</f>
        <v>1.2102798008779</v>
      </c>
      <c r="M6" s="12" t="s">
        <v>251</v>
      </c>
    </row>
    <row r="7" customFormat="false" ht="32.8" hidden="false" customHeight="false" outlineLevel="0" collapsed="false">
      <c r="A7" s="7" t="s">
        <v>79</v>
      </c>
      <c r="B7" s="7" t="s">
        <v>60</v>
      </c>
      <c r="C7" s="11" t="n">
        <f aca="false">Rates_data!P53</f>
        <v>369.81</v>
      </c>
      <c r="D7" s="8" t="n">
        <v>369.81</v>
      </c>
      <c r="E7" s="11" t="n">
        <f aca="false">IF(Rates_data!S53="","",Rates_data!S53)</f>
        <v>369.81</v>
      </c>
      <c r="F7" s="14" t="str">
        <f aca="false">Rates_data!V53</f>
        <v>121</v>
      </c>
      <c r="G7" s="14" t="str">
        <f aca="false">Reference!$C$21</f>
        <v>S</v>
      </c>
      <c r="H7" s="14" t="str">
        <f aca="false">Reference!$D$21</f>
        <v>5722</v>
      </c>
      <c r="I7" s="11" t="n">
        <f aca="false">Reference!$E$21</f>
        <v>220.6</v>
      </c>
      <c r="J7" s="8" t="n">
        <f aca="false">C7-I7</f>
        <v>149.21</v>
      </c>
      <c r="K7" s="13" t="n">
        <f aca="false">C7/I7</f>
        <v>1.67638259292838</v>
      </c>
      <c r="L7" s="18" t="n">
        <f aca="false">(K7-(1-Reference!$E$24))/Reference!$E$24</f>
        <v>2.1273043215473</v>
      </c>
      <c r="M7" s="12" t="s">
        <v>252</v>
      </c>
    </row>
    <row r="8" customFormat="false" ht="32.8" hidden="false" customHeight="false" outlineLevel="0" collapsed="false">
      <c r="A8" s="7" t="s">
        <v>39</v>
      </c>
      <c r="B8" s="7" t="s">
        <v>60</v>
      </c>
      <c r="C8" s="11" t="n">
        <f aca="false">Rates_data!P27</f>
        <v>369.77</v>
      </c>
      <c r="D8" s="8" t="n">
        <v>369.77</v>
      </c>
      <c r="E8" s="11" t="n">
        <f aca="false">IF(Rates_data!S27="","",Rates_data!S27)</f>
        <v>369.81</v>
      </c>
      <c r="F8" s="14" t="str">
        <f aca="false">Rates_data!V27</f>
        <v>84</v>
      </c>
      <c r="G8" s="14" t="str">
        <f aca="false">Reference!$C$21</f>
        <v>S</v>
      </c>
      <c r="H8" s="14" t="str">
        <f aca="false">Reference!$D$21</f>
        <v>5722</v>
      </c>
      <c r="I8" s="11" t="n">
        <f aca="false">Reference!$E$21</f>
        <v>220.6</v>
      </c>
      <c r="J8" s="8" t="n">
        <f aca="false">C8-I8</f>
        <v>149.17</v>
      </c>
      <c r="K8" s="13" t="n">
        <f aca="false">C8/I8</f>
        <v>1.67620126926564</v>
      </c>
      <c r="L8" s="18" t="n">
        <f aca="false">(K8-(1-Reference!$E$24))/Reference!$E$24</f>
        <v>2.12700211544273</v>
      </c>
      <c r="M8" s="12" t="s">
        <v>252</v>
      </c>
    </row>
    <row r="9" customFormat="false" ht="15" hidden="false" customHeight="false" outlineLevel="0" collapsed="false">
      <c r="A9" s="7" t="s">
        <v>91</v>
      </c>
      <c r="B9" s="7" t="s">
        <v>253</v>
      </c>
      <c r="M9" s="12"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32"/>
    <col collapsed="false" customWidth="true" hidden="false" outlineLevel="0" max="3" min="3" style="0" width="12"/>
    <col collapsed="false" customWidth="true" hidden="false" outlineLevel="0" max="4" min="4" style="0" width="34"/>
    <col collapsed="false" customWidth="true" hidden="false" outlineLevel="0" max="5" min="5" style="0" width="36"/>
    <col collapsed="false" customWidth="true" hidden="false" outlineLevel="0" max="6" min="6" style="0" width="60"/>
  </cols>
  <sheetData>
    <row r="1" customFormat="false" ht="16.15" hidden="false" customHeight="false" outlineLevel="0" collapsed="false">
      <c r="A1" s="1" t="s">
        <v>255</v>
      </c>
    </row>
    <row r="3" customFormat="false" ht="15" hidden="false" customHeight="false" outlineLevel="0" collapsed="false">
      <c r="A3" s="2" t="s">
        <v>256</v>
      </c>
    </row>
    <row r="4" customFormat="false" ht="30" hidden="false" customHeight="true" outlineLevel="0" collapsed="false">
      <c r="A4" s="6" t="s">
        <v>257</v>
      </c>
      <c r="B4" s="6" t="s">
        <v>23</v>
      </c>
      <c r="C4" s="6" t="s">
        <v>24</v>
      </c>
      <c r="D4" s="6" t="s">
        <v>101</v>
      </c>
      <c r="E4" s="6" t="s">
        <v>102</v>
      </c>
      <c r="F4" s="6" t="s">
        <v>258</v>
      </c>
    </row>
    <row r="5" customFormat="false" ht="15" hidden="false" customHeight="false" outlineLevel="0" collapsed="false">
      <c r="A5" s="7" t="n">
        <v>54</v>
      </c>
      <c r="B5" s="7" t="s">
        <v>91</v>
      </c>
      <c r="C5" s="7" t="s">
        <v>92</v>
      </c>
      <c r="D5" s="7" t="s">
        <v>259</v>
      </c>
      <c r="E5" s="7" t="s">
        <v>259</v>
      </c>
      <c r="F5" s="7" t="s">
        <v>260</v>
      </c>
    </row>
    <row r="6" customFormat="false" ht="15" hidden="false" customHeight="false" outlineLevel="0" collapsed="false">
      <c r="A6" s="7" t="n">
        <v>59</v>
      </c>
      <c r="B6" s="7" t="s">
        <v>91</v>
      </c>
      <c r="C6" s="7" t="s">
        <v>40</v>
      </c>
      <c r="D6" s="7" t="s">
        <v>259</v>
      </c>
      <c r="E6" s="7" t="s">
        <v>259</v>
      </c>
      <c r="F6" s="7" t="s">
        <v>260</v>
      </c>
    </row>
    <row r="7" customFormat="false" ht="15" hidden="false" customHeight="false" outlineLevel="0" collapsed="false">
      <c r="A7" s="7" t="n">
        <v>63</v>
      </c>
      <c r="B7" s="7" t="s">
        <v>91</v>
      </c>
      <c r="C7" s="7" t="s">
        <v>98</v>
      </c>
      <c r="D7" s="7" t="s">
        <v>259</v>
      </c>
      <c r="E7" s="7" t="s">
        <v>259</v>
      </c>
      <c r="F7" s="7" t="s">
        <v>260</v>
      </c>
    </row>
    <row r="8" customFormat="false" ht="15" hidden="false" customHeight="false" outlineLevel="0" collapsed="false">
      <c r="A8" s="7" t="n">
        <v>67</v>
      </c>
      <c r="B8" s="7" t="s">
        <v>91</v>
      </c>
      <c r="C8" s="7" t="s">
        <v>45</v>
      </c>
      <c r="D8" s="7" t="s">
        <v>259</v>
      </c>
      <c r="E8" s="7" t="s">
        <v>259</v>
      </c>
      <c r="F8" s="7" t="s">
        <v>260</v>
      </c>
    </row>
    <row r="9" customFormat="false" ht="15" hidden="false" customHeight="false" outlineLevel="0" collapsed="false">
      <c r="A9" s="7" t="n">
        <v>71</v>
      </c>
      <c r="B9" s="7" t="s">
        <v>91</v>
      </c>
      <c r="C9" s="7" t="s">
        <v>60</v>
      </c>
      <c r="D9" s="7" t="s">
        <v>259</v>
      </c>
      <c r="E9" s="7" t="s">
        <v>259</v>
      </c>
      <c r="F9" s="7" t="s">
        <v>260</v>
      </c>
    </row>
    <row r="10" customFormat="false" ht="15" hidden="false" customHeight="false" outlineLevel="0" collapsed="false">
      <c r="A10" s="5" t="s">
        <v>261</v>
      </c>
    </row>
    <row r="12" customFormat="false" ht="15" hidden="false" customHeight="false" outlineLevel="0" collapsed="false">
      <c r="A12" s="2" t="s">
        <v>262</v>
      </c>
    </row>
    <row r="13" customFormat="false" ht="30" hidden="false" customHeight="true" outlineLevel="0" collapsed="false">
      <c r="A13" s="6" t="s">
        <v>23</v>
      </c>
      <c r="B13" s="6" t="s">
        <v>40</v>
      </c>
      <c r="C13" s="6" t="s">
        <v>98</v>
      </c>
      <c r="D13" s="6" t="s">
        <v>45</v>
      </c>
      <c r="E13" s="6" t="s">
        <v>60</v>
      </c>
      <c r="F13" s="6" t="s">
        <v>92</v>
      </c>
    </row>
    <row r="14" customFormat="false" ht="15" hidden="false" customHeight="false" outlineLevel="0" collapsed="false">
      <c r="A14" s="7" t="s">
        <v>39</v>
      </c>
      <c r="B14" s="7" t="n">
        <f aca="false">IF(COUNTIFS(Rates_data!$B$2:$B$75,$A14,Rates_data!$D$2:$D$75,"95921",Rates_data!$Y$2:$Y$75,1)=0,"missing",COUNTIFS(Rates_data!$B$2:$B$75,$A14,Rates_data!$D$2:$D$75,"95921",Rates_data!$Y$2:$Y$75,1))</f>
        <v>1</v>
      </c>
      <c r="C14" s="7" t="str">
        <f aca="false">IF(COUNTIFS(Rates_data!$B$2:$B$75,$A14,Rates_data!$D$2:$D$75,"95922",Rates_data!$Y$2:$Y$75,1)=0,"missing",COUNTIFS(Rates_data!$B$2:$B$75,$A14,Rates_data!$D$2:$D$75,"95922",Rates_data!$Y$2:$Y$75,1))</f>
        <v>missing</v>
      </c>
      <c r="D14" s="7" t="n">
        <f aca="false">IF(COUNTIFS(Rates_data!$B$2:$B$75,$A14,Rates_data!$D$2:$D$75,"95923",Rates_data!$Y$2:$Y$75,1)=0,"missing",COUNTIFS(Rates_data!$B$2:$B$75,$A14,Rates_data!$D$2:$D$75,"95923",Rates_data!$Y$2:$Y$75,1))</f>
        <v>9</v>
      </c>
      <c r="E14" s="7" t="n">
        <f aca="false">IF(COUNTIFS(Rates_data!$B$2:$B$75,$A14,Rates_data!$D$2:$D$75,"95924",Rates_data!$Y$2:$Y$75,1)=0,"missing",COUNTIFS(Rates_data!$B$2:$B$75,$A14,Rates_data!$D$2:$D$75,"95924",Rates_data!$Y$2:$Y$75,1))</f>
        <v>17</v>
      </c>
      <c r="F14" s="7" t="str">
        <f aca="false">IF(COUNTIFS(Rates_data!$B$2:$B$75,$A14,Rates_data!$D$2:$D$75,"93660",Rates_data!$Y$2:$Y$75,1)=0,"missing",COUNTIFS(Rates_data!$B$2:$B$75,$A14,Rates_data!$D$2:$D$75,"93660",Rates_data!$Y$2:$Y$75,1))</f>
        <v>missing</v>
      </c>
    </row>
    <row r="15" customFormat="false" ht="15" hidden="false" customHeight="false" outlineLevel="0" collapsed="false">
      <c r="A15" s="7" t="s">
        <v>151</v>
      </c>
      <c r="B15" s="7" t="str">
        <f aca="false">IF(COUNTIFS(Rates_data!$B$2:$B$75,$A15,Rates_data!$D$2:$D$75,"95921",Rates_data!$Y$2:$Y$75,1)=0,"missing",COUNTIFS(Rates_data!$B$2:$B$75,$A15,Rates_data!$D$2:$D$75,"95921",Rates_data!$Y$2:$Y$75,1))</f>
        <v>missing</v>
      </c>
      <c r="C15" s="7" t="str">
        <f aca="false">IF(COUNTIFS(Rates_data!$B$2:$B$75,$A15,Rates_data!$D$2:$D$75,"95922",Rates_data!$Y$2:$Y$75,1)=0,"missing",COUNTIFS(Rates_data!$B$2:$B$75,$A15,Rates_data!$D$2:$D$75,"95922",Rates_data!$Y$2:$Y$75,1))</f>
        <v>missing</v>
      </c>
      <c r="D15" s="7" t="str">
        <f aca="false">IF(COUNTIFS(Rates_data!$B$2:$B$75,$A15,Rates_data!$D$2:$D$75,"95923",Rates_data!$Y$2:$Y$75,1)=0,"missing",COUNTIFS(Rates_data!$B$2:$B$75,$A15,Rates_data!$D$2:$D$75,"95923",Rates_data!$Y$2:$Y$75,1))</f>
        <v>missing</v>
      </c>
      <c r="E15" s="7" t="str">
        <f aca="false">IF(COUNTIFS(Rates_data!$B$2:$B$75,$A15,Rates_data!$D$2:$D$75,"95924",Rates_data!$Y$2:$Y$75,1)=0,"missing",COUNTIFS(Rates_data!$B$2:$B$75,$A15,Rates_data!$D$2:$D$75,"95924",Rates_data!$Y$2:$Y$75,1))</f>
        <v>missing</v>
      </c>
      <c r="F15" s="7" t="str">
        <f aca="false">IF(COUNTIFS(Rates_data!$B$2:$B$75,$A15,Rates_data!$D$2:$D$75,"93660",Rates_data!$Y$2:$Y$75,1)=0,"missing",COUNTIFS(Rates_data!$B$2:$B$75,$A15,Rates_data!$D$2:$D$75,"93660",Rates_data!$Y$2:$Y$75,1))</f>
        <v>missing</v>
      </c>
    </row>
    <row r="16" customFormat="false" ht="15" hidden="false" customHeight="false" outlineLevel="0" collapsed="false">
      <c r="A16" s="7" t="s">
        <v>79</v>
      </c>
      <c r="B16" s="7" t="n">
        <f aca="false">IF(COUNTIFS(Rates_data!$B$2:$B$75,$A16,Rates_data!$D$2:$D$75,"95921",Rates_data!$Y$2:$Y$75,1)=0,"missing",COUNTIFS(Rates_data!$B$2:$B$75,$A16,Rates_data!$D$2:$D$75,"95921",Rates_data!$Y$2:$Y$75,1))</f>
        <v>4</v>
      </c>
      <c r="C16" s="7" t="str">
        <f aca="false">IF(COUNTIFS(Rates_data!$B$2:$B$75,$A16,Rates_data!$D$2:$D$75,"95922",Rates_data!$Y$2:$Y$75,1)=0,"missing",COUNTIFS(Rates_data!$B$2:$B$75,$A16,Rates_data!$D$2:$D$75,"95922",Rates_data!$Y$2:$Y$75,1))</f>
        <v>missing</v>
      </c>
      <c r="D16" s="7" t="n">
        <f aca="false">IF(COUNTIFS(Rates_data!$B$2:$B$75,$A16,Rates_data!$D$2:$D$75,"95923",Rates_data!$Y$2:$Y$75,1)=0,"missing",COUNTIFS(Rates_data!$B$2:$B$75,$A16,Rates_data!$D$2:$D$75,"95923",Rates_data!$Y$2:$Y$75,1))</f>
        <v>8</v>
      </c>
      <c r="E16" s="7" t="n">
        <f aca="false">IF(COUNTIFS(Rates_data!$B$2:$B$75,$A16,Rates_data!$D$2:$D$75,"95924",Rates_data!$Y$2:$Y$75,1)=0,"missing",COUNTIFS(Rates_data!$B$2:$B$75,$A16,Rates_data!$D$2:$D$75,"95924",Rates_data!$Y$2:$Y$75,1))</f>
        <v>14</v>
      </c>
      <c r="F16" s="7" t="str">
        <f aca="false">IF(COUNTIFS(Rates_data!$B$2:$B$75,$A16,Rates_data!$D$2:$D$75,"93660",Rates_data!$Y$2:$Y$75,1)=0,"missing",COUNTIFS(Rates_data!$B$2:$B$75,$A16,Rates_data!$D$2:$D$75,"93660",Rates_data!$Y$2:$Y$75,1))</f>
        <v>missing</v>
      </c>
    </row>
    <row r="17" customFormat="false" ht="15" hidden="false" customHeight="false" outlineLevel="0" collapsed="false">
      <c r="A17" s="7" t="s">
        <v>152</v>
      </c>
      <c r="B17" s="7" t="str">
        <f aca="false">IF(COUNTIFS(Rates_data!$B$2:$B$75,$A17,Rates_data!$D$2:$D$75,"95921",Rates_data!$Y$2:$Y$75,1)=0,"missing",COUNTIFS(Rates_data!$B$2:$B$75,$A17,Rates_data!$D$2:$D$75,"95921",Rates_data!$Y$2:$Y$75,1))</f>
        <v>missing</v>
      </c>
      <c r="C17" s="7" t="str">
        <f aca="false">IF(COUNTIFS(Rates_data!$B$2:$B$75,$A17,Rates_data!$D$2:$D$75,"95922",Rates_data!$Y$2:$Y$75,1)=0,"missing",COUNTIFS(Rates_data!$B$2:$B$75,$A17,Rates_data!$D$2:$D$75,"95922",Rates_data!$Y$2:$Y$75,1))</f>
        <v>missing</v>
      </c>
      <c r="D17" s="7" t="str">
        <f aca="false">IF(COUNTIFS(Rates_data!$B$2:$B$75,$A17,Rates_data!$D$2:$D$75,"95923",Rates_data!$Y$2:$Y$75,1)=0,"missing",COUNTIFS(Rates_data!$B$2:$B$75,$A17,Rates_data!$D$2:$D$75,"95923",Rates_data!$Y$2:$Y$75,1))</f>
        <v>missing</v>
      </c>
      <c r="E17" s="7" t="str">
        <f aca="false">IF(COUNTIFS(Rates_data!$B$2:$B$75,$A17,Rates_data!$D$2:$D$75,"95924",Rates_data!$Y$2:$Y$75,1)=0,"missing",COUNTIFS(Rates_data!$B$2:$B$75,$A17,Rates_data!$D$2:$D$75,"95924",Rates_data!$Y$2:$Y$75,1))</f>
        <v>missing</v>
      </c>
      <c r="F17" s="7" t="str">
        <f aca="false">IF(COUNTIFS(Rates_data!$B$2:$B$75,$A17,Rates_data!$D$2:$D$75,"93660",Rates_data!$Y$2:$Y$75,1)=0,"missing",COUNTIFS(Rates_data!$B$2:$B$75,$A17,Rates_data!$D$2:$D$75,"93660",Rates_data!$Y$2:$Y$75,1))</f>
        <v>missing</v>
      </c>
    </row>
    <row r="18" customFormat="false" ht="15" hidden="false" customHeight="false" outlineLevel="0" collapsed="false">
      <c r="A18" s="7" t="s">
        <v>91</v>
      </c>
      <c r="B18" s="7" t="n">
        <f aca="false">IF(COUNTIFS(Rates_data!$B$2:$B$75,$A18,Rates_data!$D$2:$D$75,"95921",Rates_data!$Y$2:$Y$75,1)=0,"missing",COUNTIFS(Rates_data!$B$2:$B$75,$A18,Rates_data!$D$2:$D$75,"95921",Rates_data!$Y$2:$Y$75,1))</f>
        <v>3</v>
      </c>
      <c r="C18" s="7" t="n">
        <f aca="false">IF(COUNTIFS(Rates_data!$B$2:$B$75,$A18,Rates_data!$D$2:$D$75,"95922",Rates_data!$Y$2:$Y$75,1)=0,"missing",COUNTIFS(Rates_data!$B$2:$B$75,$A18,Rates_data!$D$2:$D$75,"95922",Rates_data!$Y$2:$Y$75,1))</f>
        <v>3</v>
      </c>
      <c r="D18" s="7" t="n">
        <f aca="false">IF(COUNTIFS(Rates_data!$B$2:$B$75,$A18,Rates_data!$D$2:$D$75,"95923",Rates_data!$Y$2:$Y$75,1)=0,"missing",COUNTIFS(Rates_data!$B$2:$B$75,$A18,Rates_data!$D$2:$D$75,"95923",Rates_data!$Y$2:$Y$75,1))</f>
        <v>3</v>
      </c>
      <c r="E18" s="7" t="n">
        <f aca="false">IF(COUNTIFS(Rates_data!$B$2:$B$75,$A18,Rates_data!$D$2:$D$75,"95924",Rates_data!$Y$2:$Y$75,1)=0,"missing",COUNTIFS(Rates_data!$B$2:$B$75,$A18,Rates_data!$D$2:$D$75,"95924",Rates_data!$Y$2:$Y$75,1))</f>
        <v>3</v>
      </c>
      <c r="F18" s="7" t="n">
        <f aca="false">IF(COUNTIFS(Rates_data!$B$2:$B$75,$A18,Rates_data!$D$2:$D$75,"93660",Rates_data!$Y$2:$Y$75,1)=0,"missing",COUNTIFS(Rates_data!$B$2:$B$75,$A18,Rates_data!$D$2:$D$75,"93660",Rates_data!$Y$2:$Y$75,1))</f>
        <v>4</v>
      </c>
    </row>
    <row r="20" customFormat="false" ht="15" hidden="false" customHeight="false" outlineLevel="0" collapsed="false">
      <c r="A20" s="2" t="s">
        <v>263</v>
      </c>
    </row>
    <row r="21" customFormat="false" ht="15" hidden="false" customHeight="false" outlineLevel="0" collapsed="false">
      <c r="A21" s="7" t="s">
        <v>264</v>
      </c>
      <c r="B21" s="2" t="n">
        <f aca="false">COUNTIFS(Rates_data!$AD$2:$AD$75,"REVIEW")</f>
        <v>0</v>
      </c>
      <c r="C21" s="7" t="s">
        <v>265</v>
      </c>
      <c r="D21" s="7" t="n">
        <f aca="false">COUNTIFS(Rates_data!$AD$2:$AD$75,"ok")+COUNTIFS(Rates_data!$AD$2:$AD$75,"REVIEW")</f>
        <v>69</v>
      </c>
    </row>
    <row r="22" customFormat="false" ht="15" hidden="false" customHeight="false" outlineLevel="0" collapsed="false">
      <c r="A22" s="7" t="s">
        <v>266</v>
      </c>
      <c r="B22" s="13" t="n">
        <f aca="false">MAX(Rates_data!$AC$2:$AC$75)</f>
        <v>5.90973295078349</v>
      </c>
      <c r="C22" s="7" t="s">
        <v>267</v>
      </c>
      <c r="D22" s="13" t="n">
        <f aca="false">MIN(Rates_data!$AC$2:$AC$75)</f>
        <v>0.950001352045645</v>
      </c>
    </row>
    <row r="23" customFormat="false" ht="15" hidden="false" customHeight="false" outlineLevel="0" collapsed="false">
      <c r="A23" s="5" t="s">
        <v>268</v>
      </c>
    </row>
    <row r="25" customFormat="false" ht="15" hidden="false" customHeight="false" outlineLevel="0" collapsed="false">
      <c r="A25" s="2" t="s">
        <v>269</v>
      </c>
    </row>
    <row r="26" customFormat="false" ht="15" hidden="false" customHeight="false" outlineLevel="0" collapsed="false">
      <c r="A26" s="5" t="s">
        <v>270</v>
      </c>
    </row>
    <row r="27" customFormat="false" ht="15" hidden="false" customHeight="false" outlineLevel="0" collapsed="false">
      <c r="A27" s="5" t="s">
        <v>271</v>
      </c>
    </row>
    <row r="28" customFormat="false" ht="15" hidden="false" customHeight="false" outlineLevel="0" collapsed="false">
      <c r="A28" s="5" t="s">
        <v>272</v>
      </c>
    </row>
    <row r="29" customFormat="false" ht="15" hidden="false" customHeight="false" outlineLevel="0" collapsed="false">
      <c r="A29" s="5" t="s">
        <v>273</v>
      </c>
    </row>
    <row r="30" customFormat="false" ht="15" hidden="false" customHeight="false" outlineLevel="0" collapsed="false">
      <c r="A30" s="5" t="s">
        <v>274</v>
      </c>
    </row>
    <row r="31" customFormat="false" ht="15" hidden="false" customHeight="false" outlineLevel="0" collapsed="false">
      <c r="A31" s="5"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20"/>
    <col collapsed="false" customWidth="true" hidden="false" outlineLevel="0" max="6" min="6" style="0" width="60"/>
  </cols>
  <sheetData>
    <row r="1" customFormat="false" ht="16.15" hidden="false" customHeight="false" outlineLevel="0" collapsed="false">
      <c r="A1" s="1" t="s">
        <v>276</v>
      </c>
    </row>
    <row r="2" customFormat="false" ht="15" hidden="false" customHeight="false" outlineLevel="0" collapsed="false">
      <c r="A2" s="5" t="s">
        <v>277</v>
      </c>
    </row>
    <row r="4" customFormat="false" ht="15" hidden="false" customHeight="false" outlineLevel="0" collapsed="false">
      <c r="A4" s="2" t="s">
        <v>278</v>
      </c>
    </row>
    <row r="5" customFormat="false" ht="30" hidden="false" customHeight="true" outlineLevel="0" collapsed="false">
      <c r="A5" s="6" t="s">
        <v>24</v>
      </c>
      <c r="B5" s="6" t="s">
        <v>279</v>
      </c>
      <c r="C5" s="6" t="s">
        <v>280</v>
      </c>
      <c r="D5" s="6" t="s">
        <v>281</v>
      </c>
    </row>
    <row r="6" customFormat="false" ht="15" hidden="false" customHeight="false" outlineLevel="0" collapsed="false">
      <c r="A6" s="7" t="s">
        <v>40</v>
      </c>
      <c r="B6" s="19" t="n">
        <v>54.93</v>
      </c>
      <c r="C6" s="19" t="n">
        <v>47.84</v>
      </c>
      <c r="D6" s="19" t="n">
        <v>102.77</v>
      </c>
    </row>
    <row r="7" customFormat="false" ht="15" hidden="false" customHeight="false" outlineLevel="0" collapsed="false">
      <c r="A7" s="7" t="s">
        <v>98</v>
      </c>
      <c r="B7" s="19" t="n">
        <v>54.14</v>
      </c>
      <c r="C7" s="19" t="n">
        <v>49.32</v>
      </c>
      <c r="D7" s="19" t="n">
        <v>103.46</v>
      </c>
    </row>
    <row r="8" customFormat="false" ht="15" hidden="false" customHeight="false" outlineLevel="0" collapsed="false">
      <c r="A8" s="7" t="s">
        <v>45</v>
      </c>
      <c r="B8" s="19" t="n">
        <v>94.02</v>
      </c>
      <c r="C8" s="19" t="n">
        <v>47.34</v>
      </c>
      <c r="D8" s="19" t="n">
        <v>141.36</v>
      </c>
    </row>
    <row r="9" customFormat="false" ht="15" hidden="false" customHeight="false" outlineLevel="0" collapsed="false">
      <c r="A9" s="7" t="s">
        <v>60</v>
      </c>
      <c r="B9" s="19" t="n">
        <v>79.56</v>
      </c>
      <c r="C9" s="19" t="n">
        <v>95.23</v>
      </c>
      <c r="D9" s="19" t="n">
        <v>174.79</v>
      </c>
    </row>
    <row r="10" customFormat="false" ht="15" hidden="false" customHeight="false" outlineLevel="0" collapsed="false">
      <c r="A10" s="2" t="s">
        <v>282</v>
      </c>
      <c r="B10" s="20" t="n">
        <f aca="false">B9+B8</f>
        <v>173.58</v>
      </c>
      <c r="C10" s="20" t="n">
        <f aca="false">C9+C8</f>
        <v>142.57</v>
      </c>
      <c r="D10" s="20" t="n">
        <f aca="false">D9+D8</f>
        <v>316.15</v>
      </c>
    </row>
    <row r="11" customFormat="false" ht="15" hidden="false" customHeight="false" outlineLevel="0" collapsed="false">
      <c r="A11" s="5" t="s">
        <v>283</v>
      </c>
    </row>
    <row r="12" customFormat="false" ht="15" hidden="false" customHeight="false" outlineLevel="0" collapsed="false">
      <c r="A12" s="5" t="s">
        <v>284</v>
      </c>
      <c r="B12" s="21" t="n">
        <f aca="false">ROUND(B10-173.58,2)</f>
        <v>0</v>
      </c>
      <c r="C12" s="21" t="n">
        <f aca="false">ROUND(C10-142.57,2)</f>
        <v>0</v>
      </c>
      <c r="D12" s="21" t="n">
        <f aca="false">ROUND(D10-316.15,2)</f>
        <v>0</v>
      </c>
    </row>
    <row r="15" customFormat="false" ht="15" hidden="false" customHeight="false" outlineLevel="0" collapsed="false">
      <c r="A15" s="2" t="s">
        <v>285</v>
      </c>
    </row>
    <row r="16" customFormat="false" ht="15" hidden="false" customHeight="false" outlineLevel="0" collapsed="false">
      <c r="A16" s="5" t="s">
        <v>286</v>
      </c>
    </row>
    <row r="17" customFormat="false" ht="30" hidden="false" customHeight="true" outlineLevel="0" collapsed="false">
      <c r="A17" s="6" t="s">
        <v>24</v>
      </c>
      <c r="B17" s="6" t="s">
        <v>287</v>
      </c>
      <c r="C17" s="6" t="s">
        <v>288</v>
      </c>
      <c r="D17" s="6" t="s">
        <v>289</v>
      </c>
      <c r="E17" s="6" t="s">
        <v>290</v>
      </c>
      <c r="F17" s="6" t="s">
        <v>291</v>
      </c>
    </row>
    <row r="18" customFormat="false" ht="15" hidden="false" customHeight="false" outlineLevel="0" collapsed="false">
      <c r="A18" s="7" t="s">
        <v>40</v>
      </c>
      <c r="B18" s="7" t="s">
        <v>292</v>
      </c>
      <c r="C18" s="17" t="s">
        <v>293</v>
      </c>
      <c r="D18" s="17" t="s">
        <v>294</v>
      </c>
      <c r="E18" s="19" t="n">
        <v>131.46</v>
      </c>
      <c r="F18" s="3" t="s">
        <v>295</v>
      </c>
    </row>
    <row r="19" customFormat="false" ht="23.85" hidden="false" customHeight="false" outlineLevel="0" collapsed="false">
      <c r="A19" s="7" t="s">
        <v>98</v>
      </c>
      <c r="B19" s="7" t="s">
        <v>296</v>
      </c>
      <c r="C19" s="17" t="s">
        <v>297</v>
      </c>
      <c r="D19" s="17" t="s">
        <v>298</v>
      </c>
      <c r="E19" s="19" t="n">
        <v>135.93</v>
      </c>
      <c r="F19" s="3" t="s">
        <v>299</v>
      </c>
    </row>
    <row r="20" customFormat="false" ht="23.85" hidden="false" customHeight="false" outlineLevel="0" collapsed="false">
      <c r="A20" s="7" t="s">
        <v>45</v>
      </c>
      <c r="B20" s="7" t="s">
        <v>300</v>
      </c>
      <c r="C20" s="17" t="s">
        <v>297</v>
      </c>
      <c r="D20" s="17" t="s">
        <v>298</v>
      </c>
      <c r="E20" s="19" t="n">
        <v>135.93</v>
      </c>
      <c r="F20" s="3" t="s">
        <v>299</v>
      </c>
    </row>
    <row r="21" customFormat="false" ht="15" hidden="false" customHeight="false" outlineLevel="0" collapsed="false">
      <c r="A21" s="7" t="s">
        <v>60</v>
      </c>
      <c r="B21" s="7" t="s">
        <v>301</v>
      </c>
      <c r="C21" s="17" t="s">
        <v>293</v>
      </c>
      <c r="D21" s="17" t="s">
        <v>302</v>
      </c>
      <c r="E21" s="19" t="n">
        <v>220.6</v>
      </c>
      <c r="F21" s="3" t="s">
        <v>295</v>
      </c>
    </row>
    <row r="22" customFormat="false" ht="15" hidden="false" customHeight="false" outlineLevel="0" collapsed="false">
      <c r="A22" s="7" t="s">
        <v>92</v>
      </c>
      <c r="B22" s="7" t="s">
        <v>303</v>
      </c>
      <c r="C22" s="17" t="s">
        <v>293</v>
      </c>
      <c r="D22" s="17" t="s">
        <v>304</v>
      </c>
      <c r="E22" s="19" t="n">
        <v>381.24</v>
      </c>
      <c r="F22" s="3" t="s">
        <v>295</v>
      </c>
    </row>
    <row r="24" customFormat="false" ht="15" hidden="false" customHeight="false" outlineLevel="0" collapsed="false">
      <c r="A24" s="2" t="s">
        <v>305</v>
      </c>
      <c r="E24" s="22" t="n">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4" min="3" style="0" width="13"/>
    <col collapsed="false" customWidth="true" hidden="false" outlineLevel="0" max="5" min="5" style="0" width="30"/>
    <col collapsed="false" customWidth="true" hidden="false" outlineLevel="0" max="6" min="6" style="0" width="26"/>
    <col collapsed="false" customWidth="true" hidden="false" outlineLevel="0" max="7" min="7" style="0" width="22"/>
    <col collapsed="false" customWidth="true" hidden="false" outlineLevel="0" max="8" min="8" style="0" width="36"/>
    <col collapsed="false" customWidth="true" hidden="false" outlineLevel="0" max="10" min="9" style="0" width="13"/>
    <col collapsed="false" customWidth="true" hidden="false" outlineLevel="0" max="11" min="11" style="0" width="24"/>
    <col collapsed="false" customWidth="true" hidden="false" outlineLevel="0" max="25" min="12" style="0" width="13"/>
    <col collapsed="false" customWidth="true" hidden="false" outlineLevel="0" max="26" min="26" style="0" width="40"/>
    <col collapsed="false" customWidth="true" hidden="false" outlineLevel="0" max="27" min="27" style="0" width="13"/>
    <col collapsed="false" customWidth="true" hidden="false" outlineLevel="0" max="28" min="28" style="0" width="34"/>
    <col collapsed="false" customWidth="true" hidden="false" outlineLevel="0" max="32" min="29" style="0" width="13"/>
    <col collapsed="false" customWidth="true" hidden="false" outlineLevel="0" max="34" min="33" style="0" width="50"/>
  </cols>
  <sheetData>
    <row r="1" customFormat="false" ht="30" hidden="false" customHeight="true" outlineLevel="0" collapsed="false">
      <c r="A1" s="6" t="s">
        <v>306</v>
      </c>
      <c r="B1" s="6" t="s">
        <v>307</v>
      </c>
      <c r="C1" s="6" t="s">
        <v>308</v>
      </c>
      <c r="D1" s="6" t="s">
        <v>309</v>
      </c>
      <c r="E1" s="6" t="s">
        <v>310</v>
      </c>
      <c r="F1" s="6" t="s">
        <v>311</v>
      </c>
      <c r="G1" s="6" t="s">
        <v>312</v>
      </c>
      <c r="H1" s="6" t="s">
        <v>313</v>
      </c>
      <c r="I1" s="6" t="s">
        <v>314</v>
      </c>
      <c r="J1" s="6" t="s">
        <v>315</v>
      </c>
      <c r="K1" s="6" t="s">
        <v>316</v>
      </c>
      <c r="L1" s="6" t="s">
        <v>317</v>
      </c>
      <c r="M1" s="6" t="s">
        <v>318</v>
      </c>
      <c r="N1" s="6" t="s">
        <v>319</v>
      </c>
      <c r="O1" s="6" t="s">
        <v>320</v>
      </c>
      <c r="P1" s="6" t="s">
        <v>321</v>
      </c>
      <c r="Q1" s="6" t="s">
        <v>322</v>
      </c>
      <c r="R1" s="6" t="s">
        <v>323</v>
      </c>
      <c r="S1" s="6" t="s">
        <v>324</v>
      </c>
      <c r="T1" s="6" t="s">
        <v>325</v>
      </c>
      <c r="U1" s="6" t="s">
        <v>326</v>
      </c>
      <c r="V1" s="6" t="s">
        <v>327</v>
      </c>
      <c r="W1" s="6" t="s">
        <v>328</v>
      </c>
      <c r="X1" s="6" t="s">
        <v>329</v>
      </c>
      <c r="Y1" s="6" t="s">
        <v>330</v>
      </c>
      <c r="Z1" s="6" t="s">
        <v>331</v>
      </c>
      <c r="AA1" s="6" t="s">
        <v>332</v>
      </c>
      <c r="AB1" s="6" t="s">
        <v>333</v>
      </c>
      <c r="AC1" s="6" t="s">
        <v>334</v>
      </c>
      <c r="AD1" s="6" t="s">
        <v>335</v>
      </c>
      <c r="AE1" s="6" t="s">
        <v>336</v>
      </c>
      <c r="AF1" s="6" t="s">
        <v>337</v>
      </c>
      <c r="AG1" s="6" t="s">
        <v>338</v>
      </c>
      <c r="AH1" s="6" t="s">
        <v>339</v>
      </c>
    </row>
    <row r="2" customFormat="false" ht="15" hidden="false" customHeight="false" outlineLevel="0" collapsed="false">
      <c r="A2" s="7" t="n">
        <v>1</v>
      </c>
      <c r="B2" s="7" t="s">
        <v>39</v>
      </c>
      <c r="C2" s="7" t="s">
        <v>340</v>
      </c>
      <c r="D2" s="7" t="s">
        <v>40</v>
      </c>
      <c r="E2" s="7" t="s">
        <v>41</v>
      </c>
      <c r="F2" s="7" t="s">
        <v>42</v>
      </c>
      <c r="G2" s="7" t="s">
        <v>43</v>
      </c>
      <c r="H2" s="7" t="s">
        <v>131</v>
      </c>
      <c r="I2" s="7" t="s">
        <v>188</v>
      </c>
      <c r="J2" s="7"/>
      <c r="K2" s="7" t="s">
        <v>192</v>
      </c>
      <c r="L2" s="7" t="s">
        <v>341</v>
      </c>
      <c r="M2" s="8" t="n">
        <v>612</v>
      </c>
      <c r="N2" s="8" t="n">
        <v>500.13</v>
      </c>
      <c r="O2" s="7" t="n">
        <v>81.72</v>
      </c>
      <c r="P2" s="8" t="n">
        <v>500.13</v>
      </c>
      <c r="Q2" s="7" t="s">
        <v>342</v>
      </c>
      <c r="R2" s="7" t="n">
        <v>1</v>
      </c>
      <c r="S2" s="8" t="n">
        <v>474.04</v>
      </c>
      <c r="T2" s="8" t="n">
        <v>474.04</v>
      </c>
      <c r="U2" s="8" t="n">
        <v>474.04</v>
      </c>
      <c r="V2" s="7" t="s">
        <v>44</v>
      </c>
      <c r="W2" s="8" t="n">
        <f aca="false">IF(S2&lt;&gt;"",S2,IF(P2&lt;&gt;"",P2,""))</f>
        <v>474.04</v>
      </c>
      <c r="X2" s="7" t="str">
        <f aca="false">IF(S2&lt;&gt;"","median allowed",IF(P2&lt;&gt;"","negotiated",""))</f>
        <v>median allowed</v>
      </c>
      <c r="Y2" s="7" t="n">
        <v>1</v>
      </c>
      <c r="Z2" s="7"/>
      <c r="AA2" s="11" t="n">
        <f aca="false">Reference!$E$18</f>
        <v>131.46</v>
      </c>
      <c r="AB2" s="7" t="s">
        <v>343</v>
      </c>
      <c r="AC2" s="13" t="n">
        <f aca="false">IF(AND(Y2=1,P2&lt;&gt;"",AA2&gt;0),P2/AA2,"")</f>
        <v>3.80442720219078</v>
      </c>
      <c r="AD2" s="7" t="str">
        <f aca="false">IF(AC2="","",IF(OR(AC2&gt;20,AC2&lt;0.2),"REVIEW","ok"))</f>
        <v>ok</v>
      </c>
      <c r="AE2" s="11" t="n">
        <f aca="false">INDEX(Reference!$E$18:$E$22,MATCH(D2,Reference!$A$18:$A$22,0))</f>
        <v>131.46</v>
      </c>
      <c r="AF2" s="13" t="n">
        <f aca="false">IF(AND(Y2=1,P2&lt;&gt;"",AE2&gt;0),P2/AE2,"")</f>
        <v>3.80442720219078</v>
      </c>
      <c r="AG2" s="7"/>
      <c r="AH2" s="7" t="s">
        <v>344</v>
      </c>
    </row>
    <row r="3" customFormat="false" ht="15" hidden="false" customHeight="false" outlineLevel="0" collapsed="false">
      <c r="A3" s="7" t="n">
        <v>2</v>
      </c>
      <c r="B3" s="7" t="s">
        <v>39</v>
      </c>
      <c r="C3" s="7" t="s">
        <v>340</v>
      </c>
      <c r="D3" s="7" t="s">
        <v>45</v>
      </c>
      <c r="E3" s="7" t="s">
        <v>46</v>
      </c>
      <c r="F3" s="7" t="s">
        <v>47</v>
      </c>
      <c r="G3" s="7" t="s">
        <v>43</v>
      </c>
      <c r="H3" s="7" t="s">
        <v>123</v>
      </c>
      <c r="I3" s="7" t="s">
        <v>188</v>
      </c>
      <c r="J3" s="7"/>
      <c r="K3" s="7" t="s">
        <v>192</v>
      </c>
      <c r="L3" s="7" t="s">
        <v>341</v>
      </c>
      <c r="M3" s="8" t="n">
        <v>983</v>
      </c>
      <c r="N3" s="8" t="n">
        <v>686.13</v>
      </c>
      <c r="O3" s="7" t="n">
        <v>69.8</v>
      </c>
      <c r="P3" s="8" t="n">
        <v>686.13</v>
      </c>
      <c r="Q3" s="7" t="s">
        <v>342</v>
      </c>
      <c r="R3" s="7" t="n">
        <v>1</v>
      </c>
      <c r="S3" s="8" t="n">
        <v>1212.81</v>
      </c>
      <c r="T3" s="8" t="n">
        <v>645.18</v>
      </c>
      <c r="U3" s="8" t="n">
        <v>1212.81</v>
      </c>
      <c r="V3" s="7" t="s">
        <v>44</v>
      </c>
      <c r="W3" s="8" t="n">
        <f aca="false">IF(S3&lt;&gt;"",S3,IF(P3&lt;&gt;"",P3,""))</f>
        <v>1212.81</v>
      </c>
      <c r="X3" s="7" t="str">
        <f aca="false">IF(S3&lt;&gt;"","median allowed",IF(P3&lt;&gt;"","negotiated",""))</f>
        <v>median allowed</v>
      </c>
      <c r="Y3" s="7" t="n">
        <v>1</v>
      </c>
      <c r="Z3" s="7"/>
      <c r="AA3" s="11" t="n">
        <f aca="false">Reference!$E$20</f>
        <v>135.93</v>
      </c>
      <c r="AB3" s="7" t="s">
        <v>343</v>
      </c>
      <c r="AC3" s="13" t="n">
        <f aca="false">IF(AND(Y3=1,P3&lt;&gt;"",AA3&gt;0),P3/AA3,"")</f>
        <v>5.04767159567424</v>
      </c>
      <c r="AD3" s="7" t="str">
        <f aca="false">IF(AC3="","",IF(OR(AC3&gt;20,AC3&lt;0.2),"REVIEW","ok"))</f>
        <v>ok</v>
      </c>
      <c r="AE3" s="11" t="n">
        <f aca="false">INDEX(Reference!$E$18:$E$22,MATCH(D3,Reference!$A$18:$A$22,0))</f>
        <v>135.93</v>
      </c>
      <c r="AF3" s="13" t="n">
        <f aca="false">IF(AND(Y3=1,P3&lt;&gt;"",AE3&gt;0),P3/AE3,"")</f>
        <v>5.04767159567424</v>
      </c>
      <c r="AG3" s="7"/>
      <c r="AH3" s="7" t="s">
        <v>345</v>
      </c>
    </row>
    <row r="4" customFormat="false" ht="15" hidden="false" customHeight="false" outlineLevel="0" collapsed="false">
      <c r="A4" s="7" t="n">
        <v>3</v>
      </c>
      <c r="B4" s="7" t="s">
        <v>39</v>
      </c>
      <c r="C4" s="7" t="s">
        <v>340</v>
      </c>
      <c r="D4" s="7" t="s">
        <v>45</v>
      </c>
      <c r="E4" s="7" t="s">
        <v>48</v>
      </c>
      <c r="F4" s="7" t="s">
        <v>49</v>
      </c>
      <c r="G4" s="7" t="s">
        <v>43</v>
      </c>
      <c r="H4" s="7" t="s">
        <v>125</v>
      </c>
      <c r="I4" s="7" t="s">
        <v>191</v>
      </c>
      <c r="J4" s="7"/>
      <c r="K4" s="7" t="s">
        <v>192</v>
      </c>
      <c r="L4" s="7" t="s">
        <v>341</v>
      </c>
      <c r="M4" s="8" t="n">
        <v>983</v>
      </c>
      <c r="N4" s="8" t="n">
        <v>523.94</v>
      </c>
      <c r="O4" s="7" t="n">
        <v>53.3</v>
      </c>
      <c r="P4" s="8" t="n">
        <v>523.94</v>
      </c>
      <c r="Q4" s="7" t="s">
        <v>342</v>
      </c>
      <c r="R4" s="7" t="n">
        <v>1</v>
      </c>
      <c r="S4" s="8" t="n">
        <v>503.18</v>
      </c>
      <c r="T4" s="8" t="n">
        <v>503.18</v>
      </c>
      <c r="U4" s="8" t="n">
        <v>503.18</v>
      </c>
      <c r="V4" s="7" t="s">
        <v>44</v>
      </c>
      <c r="W4" s="8" t="n">
        <f aca="false">IF(S4&lt;&gt;"",S4,IF(P4&lt;&gt;"",P4,""))</f>
        <v>503.18</v>
      </c>
      <c r="X4" s="7" t="str">
        <f aca="false">IF(S4&lt;&gt;"","median allowed",IF(P4&lt;&gt;"","negotiated",""))</f>
        <v>median allowed</v>
      </c>
      <c r="Y4" s="7" t="n">
        <v>1</v>
      </c>
      <c r="Z4" s="7"/>
      <c r="AA4" s="11" t="n">
        <f aca="false">Reference!$E$20</f>
        <v>135.93</v>
      </c>
      <c r="AB4" s="7" t="s">
        <v>343</v>
      </c>
      <c r="AC4" s="13" t="n">
        <f aca="false">IF(AND(Y4=1,P4&lt;&gt;"",AA4&gt;0),P4/AA4,"")</f>
        <v>3.85448392554992</v>
      </c>
      <c r="AD4" s="7" t="str">
        <f aca="false">IF(AC4="","",IF(OR(AC4&gt;20,AC4&lt;0.2),"REVIEW","ok"))</f>
        <v>ok</v>
      </c>
      <c r="AE4" s="11" t="n">
        <f aca="false">INDEX(Reference!$E$18:$E$22,MATCH(D4,Reference!$A$18:$A$22,0))</f>
        <v>135.93</v>
      </c>
      <c r="AF4" s="13" t="n">
        <f aca="false">IF(AND(Y4=1,P4&lt;&gt;"",AE4&gt;0),P4/AE4,"")</f>
        <v>3.85448392554992</v>
      </c>
      <c r="AG4" s="7"/>
      <c r="AH4" s="7" t="s">
        <v>346</v>
      </c>
    </row>
    <row r="5" customFormat="false" ht="15" hidden="false" customHeight="false" outlineLevel="0" collapsed="false">
      <c r="A5" s="7" t="n">
        <v>4</v>
      </c>
      <c r="B5" s="7" t="s">
        <v>39</v>
      </c>
      <c r="C5" s="7" t="s">
        <v>340</v>
      </c>
      <c r="D5" s="7" t="s">
        <v>45</v>
      </c>
      <c r="E5" s="7" t="s">
        <v>50</v>
      </c>
      <c r="F5" s="7" t="s">
        <v>49</v>
      </c>
      <c r="G5" s="7" t="s">
        <v>43</v>
      </c>
      <c r="H5" s="7" t="s">
        <v>126</v>
      </c>
      <c r="I5" s="7" t="s">
        <v>191</v>
      </c>
      <c r="J5" s="7"/>
      <c r="K5" s="7" t="s">
        <v>192</v>
      </c>
      <c r="L5" s="7" t="s">
        <v>341</v>
      </c>
      <c r="M5" s="8" t="n">
        <v>983</v>
      </c>
      <c r="N5" s="8" t="n">
        <v>781.49</v>
      </c>
      <c r="O5" s="7" t="n">
        <v>79.5</v>
      </c>
      <c r="P5" s="8" t="n">
        <v>781.49</v>
      </c>
      <c r="Q5" s="7" t="s">
        <v>342</v>
      </c>
      <c r="R5" s="7" t="n">
        <v>1</v>
      </c>
      <c r="S5" s="8" t="n">
        <v>750.01</v>
      </c>
      <c r="T5" s="8" t="n">
        <v>503.18</v>
      </c>
      <c r="U5" s="8" t="n">
        <v>750.01</v>
      </c>
      <c r="V5" s="7" t="s">
        <v>51</v>
      </c>
      <c r="W5" s="8" t="n">
        <f aca="false">IF(S5&lt;&gt;"",S5,IF(P5&lt;&gt;"",P5,""))</f>
        <v>750.01</v>
      </c>
      <c r="X5" s="7" t="str">
        <f aca="false">IF(S5&lt;&gt;"","median allowed",IF(P5&lt;&gt;"","negotiated",""))</f>
        <v>median allowed</v>
      </c>
      <c r="Y5" s="7" t="n">
        <v>1</v>
      </c>
      <c r="Z5" s="7"/>
      <c r="AA5" s="11" t="n">
        <f aca="false">Reference!$E$20</f>
        <v>135.93</v>
      </c>
      <c r="AB5" s="7" t="s">
        <v>343</v>
      </c>
      <c r="AC5" s="13" t="n">
        <f aca="false">IF(AND(Y5=1,P5&lt;&gt;"",AA5&gt;0),P5/AA5,"")</f>
        <v>5.74920915176929</v>
      </c>
      <c r="AD5" s="7" t="str">
        <f aca="false">IF(AC5="","",IF(OR(AC5&gt;20,AC5&lt;0.2),"REVIEW","ok"))</f>
        <v>ok</v>
      </c>
      <c r="AE5" s="11" t="n">
        <f aca="false">INDEX(Reference!$E$18:$E$22,MATCH(D5,Reference!$A$18:$A$22,0))</f>
        <v>135.93</v>
      </c>
      <c r="AF5" s="13" t="n">
        <f aca="false">IF(AND(Y5=1,P5&lt;&gt;"",AE5&gt;0),P5/AE5,"")</f>
        <v>5.74920915176929</v>
      </c>
      <c r="AG5" s="7"/>
      <c r="AH5" s="7" t="s">
        <v>347</v>
      </c>
    </row>
    <row r="6" customFormat="false" ht="15" hidden="false" customHeight="false" outlineLevel="0" collapsed="false">
      <c r="A6" s="7" t="n">
        <v>5</v>
      </c>
      <c r="B6" s="7" t="s">
        <v>39</v>
      </c>
      <c r="C6" s="7" t="s">
        <v>340</v>
      </c>
      <c r="D6" s="7" t="s">
        <v>45</v>
      </c>
      <c r="E6" s="7" t="s">
        <v>52</v>
      </c>
      <c r="F6" s="7" t="s">
        <v>53</v>
      </c>
      <c r="G6" s="7" t="s">
        <v>43</v>
      </c>
      <c r="H6" s="7" t="s">
        <v>127</v>
      </c>
      <c r="I6" s="7" t="s">
        <v>191</v>
      </c>
      <c r="J6" s="7"/>
      <c r="K6" s="7" t="s">
        <v>192</v>
      </c>
      <c r="L6" s="7" t="s">
        <v>341</v>
      </c>
      <c r="M6" s="8" t="n">
        <v>983</v>
      </c>
      <c r="N6" s="8" t="n">
        <v>638.95</v>
      </c>
      <c r="O6" s="7" t="n">
        <v>65</v>
      </c>
      <c r="P6" s="8" t="n">
        <v>638.95</v>
      </c>
      <c r="Q6" s="7" t="s">
        <v>342</v>
      </c>
      <c r="R6" s="7" t="n">
        <v>1</v>
      </c>
      <c r="S6" s="8" t="n">
        <v>619.45</v>
      </c>
      <c r="T6" s="8" t="n">
        <v>619.45</v>
      </c>
      <c r="U6" s="8" t="n">
        <v>619.45</v>
      </c>
      <c r="V6" s="7" t="s">
        <v>44</v>
      </c>
      <c r="W6" s="8" t="n">
        <f aca="false">IF(S6&lt;&gt;"",S6,IF(P6&lt;&gt;"",P6,""))</f>
        <v>619.45</v>
      </c>
      <c r="X6" s="7" t="str">
        <f aca="false">IF(S6&lt;&gt;"","median allowed",IF(P6&lt;&gt;"","negotiated",""))</f>
        <v>median allowed</v>
      </c>
      <c r="Y6" s="7" t="n">
        <v>1</v>
      </c>
      <c r="Z6" s="7"/>
      <c r="AA6" s="11" t="n">
        <f aca="false">Reference!$E$20</f>
        <v>135.93</v>
      </c>
      <c r="AB6" s="7" t="s">
        <v>343</v>
      </c>
      <c r="AC6" s="13" t="n">
        <f aca="false">IF(AND(Y6=1,P6&lt;&gt;"",AA6&gt;0),P6/AA6,"")</f>
        <v>4.70058118149047</v>
      </c>
      <c r="AD6" s="7" t="str">
        <f aca="false">IF(AC6="","",IF(OR(AC6&gt;20,AC6&lt;0.2),"REVIEW","ok"))</f>
        <v>ok</v>
      </c>
      <c r="AE6" s="11" t="n">
        <f aca="false">INDEX(Reference!$E$18:$E$22,MATCH(D6,Reference!$A$18:$A$22,0))</f>
        <v>135.93</v>
      </c>
      <c r="AF6" s="13" t="n">
        <f aca="false">IF(AND(Y6=1,P6&lt;&gt;"",AE6&gt;0),P6/AE6,"")</f>
        <v>4.70058118149047</v>
      </c>
      <c r="AG6" s="7"/>
      <c r="AH6" s="7" t="s">
        <v>348</v>
      </c>
    </row>
    <row r="7" customFormat="false" ht="15" hidden="false" customHeight="false" outlineLevel="0" collapsed="false">
      <c r="A7" s="7" t="n">
        <v>6</v>
      </c>
      <c r="B7" s="7" t="s">
        <v>39</v>
      </c>
      <c r="C7" s="7" t="s">
        <v>340</v>
      </c>
      <c r="D7" s="7" t="s">
        <v>45</v>
      </c>
      <c r="E7" s="7" t="s">
        <v>54</v>
      </c>
      <c r="F7" s="7" t="s">
        <v>55</v>
      </c>
      <c r="G7" s="7" t="s">
        <v>43</v>
      </c>
      <c r="H7" s="7" t="s">
        <v>128</v>
      </c>
      <c r="I7" s="7" t="s">
        <v>191</v>
      </c>
      <c r="J7" s="7"/>
      <c r="K7" s="7" t="s">
        <v>192</v>
      </c>
      <c r="L7" s="7" t="s">
        <v>341</v>
      </c>
      <c r="M7" s="8" t="n">
        <v>983</v>
      </c>
      <c r="N7" s="8" t="n">
        <v>358.8</v>
      </c>
      <c r="O7" s="7" t="n">
        <v>36.5</v>
      </c>
      <c r="P7" s="8" t="n">
        <v>358.8</v>
      </c>
      <c r="Q7" s="7" t="s">
        <v>342</v>
      </c>
      <c r="R7" s="7" t="n">
        <v>1</v>
      </c>
      <c r="S7" s="8" t="n">
        <v>355.47</v>
      </c>
      <c r="T7" s="8" t="n">
        <v>302.1</v>
      </c>
      <c r="U7" s="8" t="n">
        <v>355.47</v>
      </c>
      <c r="V7" s="7" t="s">
        <v>349</v>
      </c>
      <c r="W7" s="8" t="n">
        <f aca="false">IF(S7&lt;&gt;"",S7,IF(P7&lt;&gt;"",P7,""))</f>
        <v>355.47</v>
      </c>
      <c r="X7" s="7" t="str">
        <f aca="false">IF(S7&lt;&gt;"","median allowed",IF(P7&lt;&gt;"","negotiated",""))</f>
        <v>median allowed</v>
      </c>
      <c r="Y7" s="7" t="n">
        <v>1</v>
      </c>
      <c r="Z7" s="7"/>
      <c r="AA7" s="11" t="n">
        <f aca="false">Reference!$E$20</f>
        <v>135.93</v>
      </c>
      <c r="AB7" s="7" t="s">
        <v>343</v>
      </c>
      <c r="AC7" s="13" t="n">
        <f aca="false">IF(AND(Y7=1,P7&lt;&gt;"",AA7&gt;0),P7/AA7,"")</f>
        <v>2.63959390862944</v>
      </c>
      <c r="AD7" s="7" t="str">
        <f aca="false">IF(AC7="","",IF(OR(AC7&gt;20,AC7&lt;0.2),"REVIEW","ok"))</f>
        <v>ok</v>
      </c>
      <c r="AE7" s="11" t="n">
        <f aca="false">INDEX(Reference!$E$18:$E$22,MATCH(D7,Reference!$A$18:$A$22,0))</f>
        <v>135.93</v>
      </c>
      <c r="AF7" s="13" t="n">
        <f aca="false">IF(AND(Y7=1,P7&lt;&gt;"",AE7&gt;0),P7/AE7,"")</f>
        <v>2.63959390862944</v>
      </c>
      <c r="AG7" s="7"/>
      <c r="AH7" s="7" t="s">
        <v>350</v>
      </c>
    </row>
    <row r="8" customFormat="false" ht="15" hidden="false" customHeight="false" outlineLevel="0" collapsed="false">
      <c r="A8" s="7" t="n">
        <v>7</v>
      </c>
      <c r="B8" s="7" t="s">
        <v>39</v>
      </c>
      <c r="C8" s="7" t="s">
        <v>340</v>
      </c>
      <c r="D8" s="7" t="s">
        <v>45</v>
      </c>
      <c r="E8" s="7" t="s">
        <v>54</v>
      </c>
      <c r="F8" s="7" t="s">
        <v>55</v>
      </c>
      <c r="G8" s="7" t="s">
        <v>43</v>
      </c>
      <c r="H8" s="7" t="s">
        <v>129</v>
      </c>
      <c r="I8" s="7" t="s">
        <v>191</v>
      </c>
      <c r="J8" s="7"/>
      <c r="K8" s="7" t="s">
        <v>192</v>
      </c>
      <c r="L8" s="7" t="s">
        <v>341</v>
      </c>
      <c r="M8" s="8" t="n">
        <v>983</v>
      </c>
      <c r="N8" s="8" t="n">
        <v>376.49</v>
      </c>
      <c r="O8" s="7" t="n">
        <v>38.3</v>
      </c>
      <c r="P8" s="8" t="n">
        <v>376.49</v>
      </c>
      <c r="Q8" s="7" t="s">
        <v>342</v>
      </c>
      <c r="R8" s="7" t="n">
        <v>1</v>
      </c>
      <c r="S8" s="8" t="n">
        <v>372.62</v>
      </c>
      <c r="T8" s="8" t="n">
        <v>372.62</v>
      </c>
      <c r="U8" s="8" t="n">
        <v>372.62</v>
      </c>
      <c r="V8" s="7" t="s">
        <v>351</v>
      </c>
      <c r="W8" s="8" t="n">
        <f aca="false">IF(S8&lt;&gt;"",S8,IF(P8&lt;&gt;"",P8,""))</f>
        <v>372.62</v>
      </c>
      <c r="X8" s="7" t="str">
        <f aca="false">IF(S8&lt;&gt;"","median allowed",IF(P8&lt;&gt;"","negotiated",""))</f>
        <v>median allowed</v>
      </c>
      <c r="Y8" s="7" t="n">
        <v>1</v>
      </c>
      <c r="Z8" s="7"/>
      <c r="AA8" s="11" t="n">
        <f aca="false">Reference!$E$20</f>
        <v>135.93</v>
      </c>
      <c r="AB8" s="7" t="s">
        <v>343</v>
      </c>
      <c r="AC8" s="13" t="n">
        <f aca="false">IF(AND(Y8=1,P8&lt;&gt;"",AA8&gt;0),P8/AA8,"")</f>
        <v>2.76973442212904</v>
      </c>
      <c r="AD8" s="7" t="str">
        <f aca="false">IF(AC8="","",IF(OR(AC8&gt;20,AC8&lt;0.2),"REVIEW","ok"))</f>
        <v>ok</v>
      </c>
      <c r="AE8" s="11" t="n">
        <f aca="false">INDEX(Reference!$E$18:$E$22,MATCH(D8,Reference!$A$18:$A$22,0))</f>
        <v>135.93</v>
      </c>
      <c r="AF8" s="13" t="n">
        <f aca="false">IF(AND(Y8=1,P8&lt;&gt;"",AE8&gt;0),P8/AE8,"")</f>
        <v>2.76973442212904</v>
      </c>
      <c r="AG8" s="7"/>
      <c r="AH8" s="7" t="s">
        <v>352</v>
      </c>
    </row>
    <row r="9" customFormat="false" ht="15" hidden="false" customHeight="false" outlineLevel="0" collapsed="false">
      <c r="A9" s="7" t="n">
        <v>8</v>
      </c>
      <c r="B9" s="7" t="s">
        <v>39</v>
      </c>
      <c r="C9" s="7" t="s">
        <v>340</v>
      </c>
      <c r="D9" s="7" t="s">
        <v>45</v>
      </c>
      <c r="E9" s="7" t="s">
        <v>41</v>
      </c>
      <c r="F9" s="7" t="s">
        <v>42</v>
      </c>
      <c r="G9" s="7" t="s">
        <v>43</v>
      </c>
      <c r="H9" s="7" t="s">
        <v>130</v>
      </c>
      <c r="I9" s="7" t="s">
        <v>191</v>
      </c>
      <c r="J9" s="7"/>
      <c r="K9" s="7" t="s">
        <v>192</v>
      </c>
      <c r="L9" s="7" t="s">
        <v>341</v>
      </c>
      <c r="M9" s="8" t="n">
        <v>983</v>
      </c>
      <c r="N9" s="8" t="n">
        <v>421.71</v>
      </c>
      <c r="O9" s="7" t="n">
        <v>42.9</v>
      </c>
      <c r="P9" s="8" t="n">
        <v>421.71</v>
      </c>
      <c r="Q9" s="7" t="s">
        <v>342</v>
      </c>
      <c r="R9" s="7" t="n">
        <v>1</v>
      </c>
      <c r="S9" s="8" t="n">
        <v>761.83</v>
      </c>
      <c r="T9" s="8" t="n">
        <v>761.83</v>
      </c>
      <c r="U9" s="8" t="n">
        <v>761.83</v>
      </c>
      <c r="V9" s="7" t="s">
        <v>44</v>
      </c>
      <c r="W9" s="8" t="n">
        <f aca="false">IF(S9&lt;&gt;"",S9,IF(P9&lt;&gt;"",P9,""))</f>
        <v>761.83</v>
      </c>
      <c r="X9" s="7" t="str">
        <f aca="false">IF(S9&lt;&gt;"","median allowed",IF(P9&lt;&gt;"","negotiated",""))</f>
        <v>median allowed</v>
      </c>
      <c r="Y9" s="7" t="n">
        <v>1</v>
      </c>
      <c r="Z9" s="7"/>
      <c r="AA9" s="11" t="n">
        <f aca="false">Reference!$E$20</f>
        <v>135.93</v>
      </c>
      <c r="AB9" s="7" t="s">
        <v>343</v>
      </c>
      <c r="AC9" s="13" t="n">
        <f aca="false">IF(AND(Y9=1,P9&lt;&gt;"",AA9&gt;0),P9/AA9,"")</f>
        <v>3.10240564996689</v>
      </c>
      <c r="AD9" s="7" t="str">
        <f aca="false">IF(AC9="","",IF(OR(AC9&gt;20,AC9&lt;0.2),"REVIEW","ok"))</f>
        <v>ok</v>
      </c>
      <c r="AE9" s="11" t="n">
        <f aca="false">INDEX(Reference!$E$18:$E$22,MATCH(D9,Reference!$A$18:$A$22,0))</f>
        <v>135.93</v>
      </c>
      <c r="AF9" s="13" t="n">
        <f aca="false">IF(AND(Y9=1,P9&lt;&gt;"",AE9&gt;0),P9/AE9,"")</f>
        <v>3.10240564996689</v>
      </c>
      <c r="AG9" s="7"/>
      <c r="AH9" s="7" t="s">
        <v>353</v>
      </c>
    </row>
    <row r="10" customFormat="false" ht="15" hidden="false" customHeight="false" outlineLevel="0" collapsed="false">
      <c r="A10" s="7" t="n">
        <v>9</v>
      </c>
      <c r="B10" s="7" t="s">
        <v>39</v>
      </c>
      <c r="C10" s="7" t="s">
        <v>340</v>
      </c>
      <c r="D10" s="7" t="s">
        <v>45</v>
      </c>
      <c r="E10" s="7" t="s">
        <v>41</v>
      </c>
      <c r="F10" s="7" t="s">
        <v>42</v>
      </c>
      <c r="G10" s="7" t="s">
        <v>43</v>
      </c>
      <c r="H10" s="7" t="s">
        <v>131</v>
      </c>
      <c r="I10" s="7" t="s">
        <v>188</v>
      </c>
      <c r="J10" s="7"/>
      <c r="K10" s="7" t="s">
        <v>192</v>
      </c>
      <c r="L10" s="7" t="s">
        <v>341</v>
      </c>
      <c r="M10" s="8" t="n">
        <v>983</v>
      </c>
      <c r="N10" s="8" t="n">
        <v>803.31</v>
      </c>
      <c r="O10" s="7" t="n">
        <v>81.72</v>
      </c>
      <c r="P10" s="8" t="n">
        <v>803.31</v>
      </c>
      <c r="Q10" s="7" t="s">
        <v>342</v>
      </c>
      <c r="R10" s="7" t="n">
        <v>1</v>
      </c>
      <c r="S10" s="8" t="n">
        <v>761.83</v>
      </c>
      <c r="T10" s="8" t="n">
        <v>761.83</v>
      </c>
      <c r="U10" s="8" t="n">
        <v>1212.81</v>
      </c>
      <c r="V10" s="7" t="s">
        <v>61</v>
      </c>
      <c r="W10" s="8" t="n">
        <f aca="false">IF(S10&lt;&gt;"",S10,IF(P10&lt;&gt;"",P10,""))</f>
        <v>761.83</v>
      </c>
      <c r="X10" s="7" t="str">
        <f aca="false">IF(S10&lt;&gt;"","median allowed",IF(P10&lt;&gt;"","negotiated",""))</f>
        <v>median allowed</v>
      </c>
      <c r="Y10" s="7" t="n">
        <v>1</v>
      </c>
      <c r="Z10" s="7"/>
      <c r="AA10" s="11" t="n">
        <f aca="false">Reference!$E$20</f>
        <v>135.93</v>
      </c>
      <c r="AB10" s="7" t="s">
        <v>343</v>
      </c>
      <c r="AC10" s="13" t="n">
        <f aca="false">IF(AND(Y10=1,P10&lt;&gt;"",AA10&gt;0),P10/AA10,"")</f>
        <v>5.90973295078349</v>
      </c>
      <c r="AD10" s="7" t="str">
        <f aca="false">IF(AC10="","",IF(OR(AC10&gt;20,AC10&lt;0.2),"REVIEW","ok"))</f>
        <v>ok</v>
      </c>
      <c r="AE10" s="11" t="n">
        <f aca="false">INDEX(Reference!$E$18:$E$22,MATCH(D10,Reference!$A$18:$A$22,0))</f>
        <v>135.93</v>
      </c>
      <c r="AF10" s="13" t="n">
        <f aca="false">IF(AND(Y10=1,P10&lt;&gt;"",AE10&gt;0),P10/AE10,"")</f>
        <v>5.90973295078349</v>
      </c>
      <c r="AG10" s="7"/>
      <c r="AH10" s="7" t="s">
        <v>354</v>
      </c>
    </row>
    <row r="11" customFormat="false" ht="15" hidden="false" customHeight="false" outlineLevel="0" collapsed="false">
      <c r="A11" s="7" t="n">
        <v>10</v>
      </c>
      <c r="B11" s="7" t="s">
        <v>39</v>
      </c>
      <c r="C11" s="7" t="s">
        <v>340</v>
      </c>
      <c r="D11" s="7" t="s">
        <v>45</v>
      </c>
      <c r="E11" s="7" t="s">
        <v>58</v>
      </c>
      <c r="F11" s="7" t="s">
        <v>59</v>
      </c>
      <c r="G11" s="7" t="s">
        <v>43</v>
      </c>
      <c r="H11" s="7" t="s">
        <v>132</v>
      </c>
      <c r="I11" s="7" t="s">
        <v>191</v>
      </c>
      <c r="J11" s="7"/>
      <c r="K11" s="7" t="s">
        <v>192</v>
      </c>
      <c r="L11" s="7" t="s">
        <v>341</v>
      </c>
      <c r="M11" s="8" t="n">
        <v>983</v>
      </c>
      <c r="N11" s="8" t="n">
        <v>725.26</v>
      </c>
      <c r="O11" s="7" t="n">
        <v>73.78</v>
      </c>
      <c r="P11" s="8" t="n">
        <v>725.26</v>
      </c>
      <c r="Q11" s="7" t="s">
        <v>342</v>
      </c>
      <c r="R11" s="7" t="n">
        <v>1</v>
      </c>
      <c r="S11" s="8" t="n">
        <v>709.51</v>
      </c>
      <c r="T11" s="8" t="n">
        <v>709.51</v>
      </c>
      <c r="U11" s="8" t="n">
        <v>709.51</v>
      </c>
      <c r="V11" s="7" t="s">
        <v>44</v>
      </c>
      <c r="W11" s="8" t="n">
        <f aca="false">IF(S11&lt;&gt;"",S11,IF(P11&lt;&gt;"",P11,""))</f>
        <v>709.51</v>
      </c>
      <c r="X11" s="7" t="str">
        <f aca="false">IF(S11&lt;&gt;"","median allowed",IF(P11&lt;&gt;"","negotiated",""))</f>
        <v>median allowed</v>
      </c>
      <c r="Y11" s="7" t="n">
        <v>1</v>
      </c>
      <c r="Z11" s="7"/>
      <c r="AA11" s="11" t="n">
        <f aca="false">Reference!$E$20</f>
        <v>135.93</v>
      </c>
      <c r="AB11" s="7" t="s">
        <v>343</v>
      </c>
      <c r="AC11" s="13" t="n">
        <f aca="false">IF(AND(Y11=1,P11&lt;&gt;"",AA11&gt;0),P11/AA11,"")</f>
        <v>5.33554035165159</v>
      </c>
      <c r="AD11" s="7" t="str">
        <f aca="false">IF(AC11="","",IF(OR(AC11&gt;20,AC11&lt;0.2),"REVIEW","ok"))</f>
        <v>ok</v>
      </c>
      <c r="AE11" s="11" t="n">
        <f aca="false">INDEX(Reference!$E$18:$E$22,MATCH(D11,Reference!$A$18:$A$22,0))</f>
        <v>135.93</v>
      </c>
      <c r="AF11" s="13" t="n">
        <f aca="false">IF(AND(Y11=1,P11&lt;&gt;"",AE11&gt;0),P11/AE11,"")</f>
        <v>5.33554035165159</v>
      </c>
      <c r="AG11" s="7"/>
      <c r="AH11" s="7" t="s">
        <v>355</v>
      </c>
    </row>
    <row r="12" customFormat="false" ht="15" hidden="false" customHeight="false" outlineLevel="0" collapsed="false">
      <c r="A12" s="7" t="n">
        <v>11</v>
      </c>
      <c r="B12" s="7" t="s">
        <v>39</v>
      </c>
      <c r="C12" s="7" t="s">
        <v>340</v>
      </c>
      <c r="D12" s="7" t="s">
        <v>60</v>
      </c>
      <c r="E12" s="7" t="s">
        <v>46</v>
      </c>
      <c r="F12" s="7" t="s">
        <v>47</v>
      </c>
      <c r="G12" s="7" t="s">
        <v>43</v>
      </c>
      <c r="H12" s="7" t="s">
        <v>123</v>
      </c>
      <c r="I12" s="7" t="s">
        <v>188</v>
      </c>
      <c r="J12" s="7"/>
      <c r="K12" s="7" t="s">
        <v>192</v>
      </c>
      <c r="L12" s="7" t="s">
        <v>341</v>
      </c>
      <c r="M12" s="8" t="n">
        <v>1148</v>
      </c>
      <c r="N12" s="8" t="n">
        <v>801.3</v>
      </c>
      <c r="O12" s="7" t="n">
        <v>69.8</v>
      </c>
      <c r="P12" s="8" t="n">
        <v>801.3</v>
      </c>
      <c r="Q12" s="7" t="s">
        <v>342</v>
      </c>
      <c r="R12" s="7" t="n">
        <v>1</v>
      </c>
      <c r="S12" s="8" t="n">
        <v>1444.72</v>
      </c>
      <c r="T12" s="8" t="n">
        <v>753.5</v>
      </c>
      <c r="U12" s="8" t="n">
        <v>1444.72</v>
      </c>
      <c r="V12" s="7" t="s">
        <v>44</v>
      </c>
      <c r="W12" s="8" t="n">
        <f aca="false">IF(S12&lt;&gt;"",S12,IF(P12&lt;&gt;"",P12,""))</f>
        <v>1444.72</v>
      </c>
      <c r="X12" s="7" t="str">
        <f aca="false">IF(S12&lt;&gt;"","median allowed",IF(P12&lt;&gt;"","negotiated",""))</f>
        <v>median allowed</v>
      </c>
      <c r="Y12" s="7" t="n">
        <v>1</v>
      </c>
      <c r="Z12" s="7"/>
      <c r="AA12" s="11" t="n">
        <f aca="false">P27</f>
        <v>369.77</v>
      </c>
      <c r="AB12" s="7" t="s">
        <v>356</v>
      </c>
      <c r="AC12" s="13" t="n">
        <f aca="false">IF(AND(Y12=1,P12&lt;&gt;"",AA12&gt;0),P12/AA12,"")</f>
        <v>2.16702274386781</v>
      </c>
      <c r="AD12" s="7" t="str">
        <f aca="false">IF(AC12="","",IF(OR(AC12&gt;20,AC12&lt;0.2),"REVIEW","ok"))</f>
        <v>ok</v>
      </c>
      <c r="AE12" s="11" t="n">
        <f aca="false">INDEX(Reference!$E$18:$E$22,MATCH(D12,Reference!$A$18:$A$22,0))</f>
        <v>220.6</v>
      </c>
      <c r="AF12" s="13" t="n">
        <f aca="false">IF(AND(Y12=1,P12&lt;&gt;"",AE12&gt;0),P12/AE12,"")</f>
        <v>3.63236627379873</v>
      </c>
      <c r="AG12" s="7"/>
      <c r="AH12" s="7" t="s">
        <v>357</v>
      </c>
    </row>
    <row r="13" customFormat="false" ht="15" hidden="false" customHeight="false" outlineLevel="0" collapsed="false">
      <c r="A13" s="7" t="n">
        <v>12</v>
      </c>
      <c r="B13" s="7" t="s">
        <v>39</v>
      </c>
      <c r="C13" s="7" t="s">
        <v>340</v>
      </c>
      <c r="D13" s="7" t="s">
        <v>60</v>
      </c>
      <c r="E13" s="7" t="s">
        <v>48</v>
      </c>
      <c r="F13" s="7" t="s">
        <v>49</v>
      </c>
      <c r="G13" s="7" t="s">
        <v>43</v>
      </c>
      <c r="H13" s="7" t="s">
        <v>125</v>
      </c>
      <c r="I13" s="7" t="s">
        <v>191</v>
      </c>
      <c r="J13" s="7"/>
      <c r="K13" s="7" t="s">
        <v>192</v>
      </c>
      <c r="L13" s="7" t="s">
        <v>341</v>
      </c>
      <c r="M13" s="8" t="n">
        <v>1148</v>
      </c>
      <c r="N13" s="8" t="n">
        <v>611.88</v>
      </c>
      <c r="O13" s="7" t="n">
        <v>53.3</v>
      </c>
      <c r="P13" s="8" t="n">
        <v>611.88</v>
      </c>
      <c r="Q13" s="7" t="s">
        <v>342</v>
      </c>
      <c r="R13" s="7" t="n">
        <v>1</v>
      </c>
      <c r="S13" s="8" t="n">
        <v>587.66</v>
      </c>
      <c r="T13" s="8" t="n">
        <v>587.66</v>
      </c>
      <c r="U13" s="8" t="n">
        <v>587.66</v>
      </c>
      <c r="V13" s="7" t="s">
        <v>44</v>
      </c>
      <c r="W13" s="8" t="n">
        <f aca="false">IF(S13&lt;&gt;"",S13,IF(P13&lt;&gt;"",P13,""))</f>
        <v>587.66</v>
      </c>
      <c r="X13" s="7" t="str">
        <f aca="false">IF(S13&lt;&gt;"","median allowed",IF(P13&lt;&gt;"","negotiated",""))</f>
        <v>median allowed</v>
      </c>
      <c r="Y13" s="7" t="n">
        <v>1</v>
      </c>
      <c r="Z13" s="7"/>
      <c r="AA13" s="11" t="n">
        <f aca="false">P27</f>
        <v>369.77</v>
      </c>
      <c r="AB13" s="7" t="s">
        <v>356</v>
      </c>
      <c r="AC13" s="13" t="n">
        <f aca="false">IF(AND(Y13=1,P13&lt;&gt;"",AA13&gt;0),P13/AA13,"")</f>
        <v>1.65475836330692</v>
      </c>
      <c r="AD13" s="7" t="str">
        <f aca="false">IF(AC13="","",IF(OR(AC13&gt;20,AC13&lt;0.2),"REVIEW","ok"))</f>
        <v>ok</v>
      </c>
      <c r="AE13" s="11" t="n">
        <f aca="false">INDEX(Reference!$E$18:$E$22,MATCH(D13,Reference!$A$18:$A$22,0))</f>
        <v>220.6</v>
      </c>
      <c r="AF13" s="13" t="n">
        <f aca="false">IF(AND(Y13=1,P13&lt;&gt;"",AE13&gt;0),P13/AE13,"")</f>
        <v>2.77370806890299</v>
      </c>
      <c r="AG13" s="7"/>
      <c r="AH13" s="7" t="s">
        <v>358</v>
      </c>
    </row>
    <row r="14" customFormat="false" ht="15" hidden="false" customHeight="false" outlineLevel="0" collapsed="false">
      <c r="A14" s="7" t="n">
        <v>13</v>
      </c>
      <c r="B14" s="7" t="s">
        <v>39</v>
      </c>
      <c r="C14" s="7" t="s">
        <v>340</v>
      </c>
      <c r="D14" s="7" t="s">
        <v>60</v>
      </c>
      <c r="E14" s="7" t="s">
        <v>50</v>
      </c>
      <c r="F14" s="7" t="s">
        <v>49</v>
      </c>
      <c r="G14" s="7" t="s">
        <v>43</v>
      </c>
      <c r="H14" s="7" t="s">
        <v>126</v>
      </c>
      <c r="I14" s="7" t="s">
        <v>191</v>
      </c>
      <c r="J14" s="7"/>
      <c r="K14" s="7" t="s">
        <v>192</v>
      </c>
      <c r="L14" s="7" t="s">
        <v>341</v>
      </c>
      <c r="M14" s="8" t="n">
        <v>1148</v>
      </c>
      <c r="N14" s="8" t="n">
        <v>912.66</v>
      </c>
      <c r="O14" s="7" t="n">
        <v>79.5</v>
      </c>
      <c r="P14" s="8" t="n">
        <v>912.66</v>
      </c>
      <c r="Q14" s="7" t="s">
        <v>342</v>
      </c>
      <c r="R14" s="7" t="n">
        <v>1</v>
      </c>
      <c r="S14" s="8" t="n">
        <v>875.93</v>
      </c>
      <c r="T14" s="8" t="n">
        <v>587.66</v>
      </c>
      <c r="U14" s="8" t="n">
        <v>875.93</v>
      </c>
      <c r="V14" s="7" t="s">
        <v>61</v>
      </c>
      <c r="W14" s="8" t="n">
        <f aca="false">IF(S14&lt;&gt;"",S14,IF(P14&lt;&gt;"",P14,""))</f>
        <v>875.93</v>
      </c>
      <c r="X14" s="7" t="str">
        <f aca="false">IF(S14&lt;&gt;"","median allowed",IF(P14&lt;&gt;"","negotiated",""))</f>
        <v>median allowed</v>
      </c>
      <c r="Y14" s="7" t="n">
        <v>1</v>
      </c>
      <c r="Z14" s="7"/>
      <c r="AA14" s="11" t="n">
        <f aca="false">P27</f>
        <v>369.77</v>
      </c>
      <c r="AB14" s="7" t="s">
        <v>356</v>
      </c>
      <c r="AC14" s="13" t="n">
        <f aca="false">IF(AND(Y14=1,P14&lt;&gt;"",AA14&gt;0),P14/AA14,"")</f>
        <v>2.46818292452065</v>
      </c>
      <c r="AD14" s="7" t="str">
        <f aca="false">IF(AC14="","",IF(OR(AC14&gt;20,AC14&lt;0.2),"REVIEW","ok"))</f>
        <v>ok</v>
      </c>
      <c r="AE14" s="11" t="n">
        <f aca="false">INDEX(Reference!$E$18:$E$22,MATCH(D14,Reference!$A$18:$A$22,0))</f>
        <v>220.6</v>
      </c>
      <c r="AF14" s="13" t="n">
        <f aca="false">IF(AND(Y14=1,P14&lt;&gt;"",AE14&gt;0),P14/AE14,"")</f>
        <v>4.13717135086129</v>
      </c>
      <c r="AG14" s="7"/>
      <c r="AH14" s="7" t="s">
        <v>359</v>
      </c>
    </row>
    <row r="15" customFormat="false" ht="15" hidden="false" customHeight="false" outlineLevel="0" collapsed="false">
      <c r="A15" s="7" t="n">
        <v>14</v>
      </c>
      <c r="B15" s="7" t="s">
        <v>39</v>
      </c>
      <c r="C15" s="7" t="s">
        <v>340</v>
      </c>
      <c r="D15" s="7" t="s">
        <v>60</v>
      </c>
      <c r="E15" s="7" t="s">
        <v>52</v>
      </c>
      <c r="F15" s="7" t="s">
        <v>53</v>
      </c>
      <c r="G15" s="7" t="s">
        <v>43</v>
      </c>
      <c r="H15" s="7" t="s">
        <v>127</v>
      </c>
      <c r="I15" s="7" t="s">
        <v>191</v>
      </c>
      <c r="J15" s="7"/>
      <c r="K15" s="7" t="s">
        <v>192</v>
      </c>
      <c r="L15" s="7" t="s">
        <v>341</v>
      </c>
      <c r="M15" s="8" t="n">
        <v>1148</v>
      </c>
      <c r="N15" s="8" t="n">
        <v>746.2</v>
      </c>
      <c r="O15" s="7" t="n">
        <v>65</v>
      </c>
      <c r="P15" s="8" t="n">
        <v>746.2</v>
      </c>
      <c r="Q15" s="7" t="s">
        <v>342</v>
      </c>
      <c r="R15" s="7" t="n">
        <v>1</v>
      </c>
      <c r="S15" s="8" t="n">
        <v>723.45</v>
      </c>
      <c r="T15" s="8" t="n">
        <v>723.45</v>
      </c>
      <c r="U15" s="8" t="n">
        <v>723.45</v>
      </c>
      <c r="V15" s="7" t="s">
        <v>44</v>
      </c>
      <c r="W15" s="8" t="n">
        <f aca="false">IF(S15&lt;&gt;"",S15,IF(P15&lt;&gt;"",P15,""))</f>
        <v>723.45</v>
      </c>
      <c r="X15" s="7" t="str">
        <f aca="false">IF(S15&lt;&gt;"","median allowed",IF(P15&lt;&gt;"","negotiated",""))</f>
        <v>median allowed</v>
      </c>
      <c r="Y15" s="7" t="n">
        <v>1</v>
      </c>
      <c r="Z15" s="7"/>
      <c r="AA15" s="11" t="n">
        <f aca="false">P27</f>
        <v>369.77</v>
      </c>
      <c r="AB15" s="7" t="s">
        <v>356</v>
      </c>
      <c r="AC15" s="13" t="n">
        <f aca="false">IF(AND(Y15=1,P15&lt;&gt;"",AA15&gt;0),P15/AA15,"")</f>
        <v>2.01801119614896</v>
      </c>
      <c r="AD15" s="7" t="str">
        <f aca="false">IF(AC15="","",IF(OR(AC15&gt;20,AC15&lt;0.2),"REVIEW","ok"))</f>
        <v>ok</v>
      </c>
      <c r="AE15" s="11" t="n">
        <f aca="false">INDEX(Reference!$E$18:$E$22,MATCH(D15,Reference!$A$18:$A$22,0))</f>
        <v>220.6</v>
      </c>
      <c r="AF15" s="13" t="n">
        <f aca="false">IF(AND(Y15=1,P15&lt;&gt;"",AE15&gt;0),P15/AE15,"")</f>
        <v>3.38259292837715</v>
      </c>
      <c r="AG15" s="7"/>
      <c r="AH15" s="7" t="s">
        <v>360</v>
      </c>
    </row>
    <row r="16" customFormat="false" ht="15" hidden="false" customHeight="false" outlineLevel="0" collapsed="false">
      <c r="A16" s="7" t="n">
        <v>15</v>
      </c>
      <c r="B16" s="7" t="s">
        <v>39</v>
      </c>
      <c r="C16" s="7" t="s">
        <v>340</v>
      </c>
      <c r="D16" s="7" t="s">
        <v>60</v>
      </c>
      <c r="E16" s="7" t="s">
        <v>54</v>
      </c>
      <c r="F16" s="7" t="s">
        <v>55</v>
      </c>
      <c r="G16" s="7" t="s">
        <v>43</v>
      </c>
      <c r="H16" s="7" t="s">
        <v>128</v>
      </c>
      <c r="I16" s="7" t="s">
        <v>191</v>
      </c>
      <c r="J16" s="7"/>
      <c r="K16" s="7" t="s">
        <v>192</v>
      </c>
      <c r="L16" s="7" t="s">
        <v>341</v>
      </c>
      <c r="M16" s="8" t="n">
        <v>1148</v>
      </c>
      <c r="N16" s="8" t="n">
        <v>419.02</v>
      </c>
      <c r="O16" s="7" t="n">
        <v>36.5</v>
      </c>
      <c r="P16" s="8" t="n">
        <v>419.02</v>
      </c>
      <c r="Q16" s="7" t="s">
        <v>342</v>
      </c>
      <c r="R16" s="7" t="n">
        <v>1</v>
      </c>
      <c r="S16" s="8" t="n">
        <v>415.15</v>
      </c>
      <c r="T16" s="8" t="n">
        <v>352.82</v>
      </c>
      <c r="U16" s="8" t="n">
        <v>415.15</v>
      </c>
      <c r="V16" s="7" t="s">
        <v>349</v>
      </c>
      <c r="W16" s="8" t="n">
        <f aca="false">IF(S16&lt;&gt;"",S16,IF(P16&lt;&gt;"",P16,""))</f>
        <v>415.15</v>
      </c>
      <c r="X16" s="7" t="str">
        <f aca="false">IF(S16&lt;&gt;"","median allowed",IF(P16&lt;&gt;"","negotiated",""))</f>
        <v>median allowed</v>
      </c>
      <c r="Y16" s="7" t="n">
        <v>1</v>
      </c>
      <c r="Z16" s="7"/>
      <c r="AA16" s="11" t="n">
        <f aca="false">P27</f>
        <v>369.77</v>
      </c>
      <c r="AB16" s="7" t="s">
        <v>356</v>
      </c>
      <c r="AC16" s="13" t="n">
        <f aca="false">IF(AND(Y16=1,P16&lt;&gt;"",AA16&gt;0),P16/AA16,"")</f>
        <v>1.13319090245288</v>
      </c>
      <c r="AD16" s="7" t="str">
        <f aca="false">IF(AC16="","",IF(OR(AC16&gt;20,AC16&lt;0.2),"REVIEW","ok"))</f>
        <v>ok</v>
      </c>
      <c r="AE16" s="11" t="n">
        <f aca="false">INDEX(Reference!$E$18:$E$22,MATCH(D16,Reference!$A$18:$A$22,0))</f>
        <v>220.6</v>
      </c>
      <c r="AF16" s="13" t="n">
        <f aca="false">IF(AND(Y16=1,P16&lt;&gt;"",AE16&gt;0),P16/AE16,"")</f>
        <v>1.89945602901179</v>
      </c>
      <c r="AG16" s="7"/>
      <c r="AH16" s="7" t="s">
        <v>361</v>
      </c>
    </row>
    <row r="17" customFormat="false" ht="15" hidden="false" customHeight="false" outlineLevel="0" collapsed="false">
      <c r="A17" s="7" t="n">
        <v>16</v>
      </c>
      <c r="B17" s="7" t="s">
        <v>39</v>
      </c>
      <c r="C17" s="7" t="s">
        <v>340</v>
      </c>
      <c r="D17" s="7" t="s">
        <v>60</v>
      </c>
      <c r="E17" s="7" t="s">
        <v>54</v>
      </c>
      <c r="F17" s="7" t="s">
        <v>55</v>
      </c>
      <c r="G17" s="7" t="s">
        <v>43</v>
      </c>
      <c r="H17" s="7" t="s">
        <v>129</v>
      </c>
      <c r="I17" s="7" t="s">
        <v>191</v>
      </c>
      <c r="J17" s="7"/>
      <c r="K17" s="7" t="s">
        <v>192</v>
      </c>
      <c r="L17" s="7" t="s">
        <v>341</v>
      </c>
      <c r="M17" s="8" t="n">
        <v>1148</v>
      </c>
      <c r="N17" s="8" t="n">
        <v>439.68</v>
      </c>
      <c r="O17" s="7" t="n">
        <v>38.3</v>
      </c>
      <c r="P17" s="8" t="n">
        <v>439.68</v>
      </c>
      <c r="Q17" s="7" t="s">
        <v>342</v>
      </c>
      <c r="R17" s="7" t="n">
        <v>1</v>
      </c>
      <c r="S17" s="8" t="n">
        <v>435.18</v>
      </c>
      <c r="T17" s="8" t="n">
        <v>435.18</v>
      </c>
      <c r="U17" s="8" t="n">
        <v>435.18</v>
      </c>
      <c r="V17" s="7" t="s">
        <v>351</v>
      </c>
      <c r="W17" s="8" t="n">
        <f aca="false">IF(S17&lt;&gt;"",S17,IF(P17&lt;&gt;"",P17,""))</f>
        <v>435.18</v>
      </c>
      <c r="X17" s="7" t="str">
        <f aca="false">IF(S17&lt;&gt;"","median allowed",IF(P17&lt;&gt;"","negotiated",""))</f>
        <v>median allowed</v>
      </c>
      <c r="Y17" s="7" t="n">
        <v>1</v>
      </c>
      <c r="Z17" s="7"/>
      <c r="AA17" s="11" t="n">
        <f aca="false">P27</f>
        <v>369.77</v>
      </c>
      <c r="AB17" s="7" t="s">
        <v>356</v>
      </c>
      <c r="AC17" s="13" t="n">
        <f aca="false">IF(AND(Y17=1,P17&lt;&gt;"",AA17&gt;0),P17/AA17,"")</f>
        <v>1.18906347188793</v>
      </c>
      <c r="AD17" s="7" t="str">
        <f aca="false">IF(AC17="","",IF(OR(AC17&gt;20,AC17&lt;0.2),"REVIEW","ok"))</f>
        <v>ok</v>
      </c>
      <c r="AE17" s="11" t="n">
        <f aca="false">INDEX(Reference!$E$18:$E$22,MATCH(D17,Reference!$A$18:$A$22,0))</f>
        <v>220.6</v>
      </c>
      <c r="AF17" s="13" t="n">
        <f aca="false">IF(AND(Y17=1,P17&lt;&gt;"",AE17&gt;0),P17/AE17,"")</f>
        <v>1.99310970081596</v>
      </c>
      <c r="AG17" s="7"/>
      <c r="AH17" s="7" t="s">
        <v>362</v>
      </c>
    </row>
    <row r="18" customFormat="false" ht="15" hidden="false" customHeight="false" outlineLevel="0" collapsed="false">
      <c r="A18" s="7" t="n">
        <v>17</v>
      </c>
      <c r="B18" s="7" t="s">
        <v>39</v>
      </c>
      <c r="C18" s="7" t="s">
        <v>340</v>
      </c>
      <c r="D18" s="7" t="s">
        <v>60</v>
      </c>
      <c r="E18" s="7" t="s">
        <v>41</v>
      </c>
      <c r="F18" s="7" t="s">
        <v>42</v>
      </c>
      <c r="G18" s="7" t="s">
        <v>43</v>
      </c>
      <c r="H18" s="7" t="s">
        <v>130</v>
      </c>
      <c r="I18" s="7" t="s">
        <v>191</v>
      </c>
      <c r="J18" s="7"/>
      <c r="K18" s="7" t="s">
        <v>192</v>
      </c>
      <c r="L18" s="7" t="s">
        <v>341</v>
      </c>
      <c r="M18" s="8" t="n">
        <v>1148</v>
      </c>
      <c r="N18" s="8" t="n">
        <v>492.49</v>
      </c>
      <c r="O18" s="7" t="n">
        <v>42.9</v>
      </c>
      <c r="P18" s="8" t="n">
        <v>492.49</v>
      </c>
      <c r="Q18" s="7" t="s">
        <v>342</v>
      </c>
      <c r="R18" s="7" t="n">
        <v>1</v>
      </c>
      <c r="S18" s="8" t="n">
        <v>889.73</v>
      </c>
      <c r="T18" s="8" t="n">
        <v>889.73</v>
      </c>
      <c r="U18" s="8" t="n">
        <v>889.73</v>
      </c>
      <c r="V18" s="7" t="s">
        <v>44</v>
      </c>
      <c r="W18" s="8" t="n">
        <f aca="false">IF(S18&lt;&gt;"",S18,IF(P18&lt;&gt;"",P18,""))</f>
        <v>889.73</v>
      </c>
      <c r="X18" s="7" t="str">
        <f aca="false">IF(S18&lt;&gt;"","median allowed",IF(P18&lt;&gt;"","negotiated",""))</f>
        <v>median allowed</v>
      </c>
      <c r="Y18" s="7" t="n">
        <v>1</v>
      </c>
      <c r="Z18" s="7"/>
      <c r="AA18" s="11" t="n">
        <f aca="false">P27</f>
        <v>369.77</v>
      </c>
      <c r="AB18" s="7" t="s">
        <v>356</v>
      </c>
      <c r="AC18" s="13" t="n">
        <f aca="false">IF(AND(Y18=1,P18&lt;&gt;"",AA18&gt;0),P18/AA18,"")</f>
        <v>1.3318819806907</v>
      </c>
      <c r="AD18" s="7" t="str">
        <f aca="false">IF(AC18="","",IF(OR(AC18&gt;20,AC18&lt;0.2),"REVIEW","ok"))</f>
        <v>ok</v>
      </c>
      <c r="AE18" s="11" t="n">
        <f aca="false">INDEX(Reference!$E$18:$E$22,MATCH(D18,Reference!$A$18:$A$22,0))</f>
        <v>220.6</v>
      </c>
      <c r="AF18" s="13" t="n">
        <f aca="false">IF(AND(Y18=1,P18&lt;&gt;"",AE18&gt;0),P18/AE18,"")</f>
        <v>2.23250226654578</v>
      </c>
      <c r="AG18" s="7"/>
      <c r="AH18" s="7" t="s">
        <v>363</v>
      </c>
    </row>
    <row r="19" customFormat="false" ht="15" hidden="false" customHeight="false" outlineLevel="0" collapsed="false">
      <c r="A19" s="7" t="n">
        <v>18</v>
      </c>
      <c r="B19" s="7" t="s">
        <v>39</v>
      </c>
      <c r="C19" s="7" t="s">
        <v>340</v>
      </c>
      <c r="D19" s="7" t="s">
        <v>60</v>
      </c>
      <c r="E19" s="7" t="s">
        <v>41</v>
      </c>
      <c r="F19" s="7" t="s">
        <v>42</v>
      </c>
      <c r="G19" s="7" t="s">
        <v>43</v>
      </c>
      <c r="H19" s="7" t="s">
        <v>131</v>
      </c>
      <c r="I19" s="7" t="s">
        <v>188</v>
      </c>
      <c r="J19" s="7"/>
      <c r="K19" s="7" t="s">
        <v>192</v>
      </c>
      <c r="L19" s="7" t="s">
        <v>341</v>
      </c>
      <c r="M19" s="8" t="n">
        <v>1148</v>
      </c>
      <c r="N19" s="8" t="n">
        <v>938.15</v>
      </c>
      <c r="O19" s="7" t="n">
        <v>81.72</v>
      </c>
      <c r="P19" s="8" t="n">
        <v>938.15</v>
      </c>
      <c r="Q19" s="7" t="s">
        <v>342</v>
      </c>
      <c r="R19" s="7" t="n">
        <v>1</v>
      </c>
      <c r="S19" s="8" t="n">
        <v>889.73</v>
      </c>
      <c r="T19" s="8" t="n">
        <v>889.73</v>
      </c>
      <c r="U19" s="8" t="n">
        <v>1444.72</v>
      </c>
      <c r="V19" s="7" t="s">
        <v>51</v>
      </c>
      <c r="W19" s="8" t="n">
        <f aca="false">IF(S19&lt;&gt;"",S19,IF(P19&lt;&gt;"",P19,""))</f>
        <v>889.73</v>
      </c>
      <c r="X19" s="7" t="str">
        <f aca="false">IF(S19&lt;&gt;"","median allowed",IF(P19&lt;&gt;"","negotiated",""))</f>
        <v>median allowed</v>
      </c>
      <c r="Y19" s="7" t="n">
        <v>1</v>
      </c>
      <c r="Z19" s="7"/>
      <c r="AA19" s="11" t="n">
        <f aca="false">P27</f>
        <v>369.77</v>
      </c>
      <c r="AB19" s="7" t="s">
        <v>356</v>
      </c>
      <c r="AC19" s="13" t="n">
        <f aca="false">IF(AND(Y19=1,P19&lt;&gt;"",AA19&gt;0),P19/AA19,"")</f>
        <v>2.53711766773941</v>
      </c>
      <c r="AD19" s="7" t="str">
        <f aca="false">IF(AC19="","",IF(OR(AC19&gt;20,AC19&lt;0.2),"REVIEW","ok"))</f>
        <v>ok</v>
      </c>
      <c r="AE19" s="11" t="n">
        <f aca="false">INDEX(Reference!$E$18:$E$22,MATCH(D19,Reference!$A$18:$A$22,0))</f>
        <v>220.6</v>
      </c>
      <c r="AF19" s="13" t="n">
        <f aca="false">IF(AND(Y19=1,P19&lt;&gt;"",AE19&gt;0),P19/AE19,"")</f>
        <v>4.25271985494107</v>
      </c>
      <c r="AG19" s="7"/>
      <c r="AH19" s="7" t="s">
        <v>364</v>
      </c>
    </row>
    <row r="20" customFormat="false" ht="15" hidden="false" customHeight="false" outlineLevel="0" collapsed="false">
      <c r="A20" s="7" t="n">
        <v>19</v>
      </c>
      <c r="B20" s="7" t="s">
        <v>39</v>
      </c>
      <c r="C20" s="7" t="s">
        <v>340</v>
      </c>
      <c r="D20" s="7" t="s">
        <v>60</v>
      </c>
      <c r="E20" s="7" t="s">
        <v>58</v>
      </c>
      <c r="F20" s="7" t="s">
        <v>59</v>
      </c>
      <c r="G20" s="7" t="s">
        <v>43</v>
      </c>
      <c r="H20" s="7" t="s">
        <v>132</v>
      </c>
      <c r="I20" s="7" t="s">
        <v>191</v>
      </c>
      <c r="J20" s="7"/>
      <c r="K20" s="7" t="s">
        <v>192</v>
      </c>
      <c r="L20" s="7" t="s">
        <v>341</v>
      </c>
      <c r="M20" s="8" t="n">
        <v>1148</v>
      </c>
      <c r="N20" s="8" t="n">
        <v>846.99</v>
      </c>
      <c r="O20" s="7" t="n">
        <v>73.78</v>
      </c>
      <c r="P20" s="8" t="n">
        <v>846.99</v>
      </c>
      <c r="Q20" s="7" t="s">
        <v>342</v>
      </c>
      <c r="R20" s="7" t="n">
        <v>1</v>
      </c>
      <c r="S20" s="8" t="n">
        <v>828.63</v>
      </c>
      <c r="T20" s="8" t="n">
        <v>828.63</v>
      </c>
      <c r="U20" s="8" t="n">
        <v>828.63</v>
      </c>
      <c r="V20" s="7" t="s">
        <v>44</v>
      </c>
      <c r="W20" s="8" t="n">
        <f aca="false">IF(S20&lt;&gt;"",S20,IF(P20&lt;&gt;"",P20,""))</f>
        <v>828.63</v>
      </c>
      <c r="X20" s="7" t="str">
        <f aca="false">IF(S20&lt;&gt;"","median allowed",IF(P20&lt;&gt;"","negotiated",""))</f>
        <v>median allowed</v>
      </c>
      <c r="Y20" s="7" t="n">
        <v>1</v>
      </c>
      <c r="Z20" s="7"/>
      <c r="AA20" s="11" t="n">
        <f aca="false">P27</f>
        <v>369.77</v>
      </c>
      <c r="AB20" s="7" t="s">
        <v>356</v>
      </c>
      <c r="AC20" s="13" t="n">
        <f aca="false">IF(AND(Y20=1,P20&lt;&gt;"",AA20&gt;0),P20/AA20,"")</f>
        <v>2.29058603997079</v>
      </c>
      <c r="AD20" s="7" t="str">
        <f aca="false">IF(AC20="","",IF(OR(AC20&gt;20,AC20&lt;0.2),"REVIEW","ok"))</f>
        <v>ok</v>
      </c>
      <c r="AE20" s="11" t="n">
        <f aca="false">INDEX(Reference!$E$18:$E$22,MATCH(D20,Reference!$A$18:$A$22,0))</f>
        <v>220.6</v>
      </c>
      <c r="AF20" s="13" t="n">
        <f aca="false">IF(AND(Y20=1,P20&lt;&gt;"",AE20&gt;0),P20/AE20,"")</f>
        <v>3.8394832275612</v>
      </c>
      <c r="AG20" s="7"/>
      <c r="AH20" s="7" t="s">
        <v>365</v>
      </c>
    </row>
    <row r="21" customFormat="false" ht="15" hidden="false" customHeight="false" outlineLevel="0" collapsed="false">
      <c r="A21" s="7" t="n">
        <v>20</v>
      </c>
      <c r="B21" s="7" t="s">
        <v>39</v>
      </c>
      <c r="C21" s="7" t="s">
        <v>340</v>
      </c>
      <c r="D21" s="7" t="s">
        <v>60</v>
      </c>
      <c r="E21" s="7" t="s">
        <v>63</v>
      </c>
      <c r="F21" s="7" t="s">
        <v>64</v>
      </c>
      <c r="G21" s="7" t="s">
        <v>65</v>
      </c>
      <c r="H21" s="7" t="s">
        <v>162</v>
      </c>
      <c r="I21" s="7" t="s">
        <v>191</v>
      </c>
      <c r="J21" s="7"/>
      <c r="K21" s="7" t="s">
        <v>194</v>
      </c>
      <c r="L21" s="7" t="s">
        <v>341</v>
      </c>
      <c r="M21" s="8" t="n">
        <v>1148</v>
      </c>
      <c r="N21" s="8" t="n">
        <v>369.77</v>
      </c>
      <c r="O21" s="7"/>
      <c r="P21" s="8" t="n">
        <v>369.77</v>
      </c>
      <c r="Q21" s="7" t="s">
        <v>342</v>
      </c>
      <c r="R21" s="7" t="n">
        <v>0</v>
      </c>
      <c r="S21" s="8" t="n">
        <v>365.12</v>
      </c>
      <c r="T21" s="8" t="n">
        <v>363.89</v>
      </c>
      <c r="U21" s="8" t="n">
        <v>365.12</v>
      </c>
      <c r="V21" s="7" t="s">
        <v>44</v>
      </c>
      <c r="W21" s="8" t="n">
        <f aca="false">IF(S21&lt;&gt;"",S21,IF(P21&lt;&gt;"",P21,""))</f>
        <v>365.12</v>
      </c>
      <c r="X21" s="7" t="str">
        <f aca="false">IF(S21&lt;&gt;"","median allowed",IF(P21&lt;&gt;"","negotiated",""))</f>
        <v>median allowed</v>
      </c>
      <c r="Y21" s="7" t="n">
        <v>1</v>
      </c>
      <c r="Z21" s="7"/>
      <c r="AA21" s="11" t="n">
        <f aca="false">P27</f>
        <v>369.77</v>
      </c>
      <c r="AB21" s="7" t="s">
        <v>356</v>
      </c>
      <c r="AC21" s="13" t="n">
        <f aca="false">IF(AND(Y21=1,P21&lt;&gt;"",AA21&gt;0),P21/AA21,"")</f>
        <v>1</v>
      </c>
      <c r="AD21" s="7" t="str">
        <f aca="false">IF(AC21="","",IF(OR(AC21&gt;20,AC21&lt;0.2),"REVIEW","ok"))</f>
        <v>ok</v>
      </c>
      <c r="AE21" s="11" t="n">
        <f aca="false">INDEX(Reference!$E$18:$E$22,MATCH(D21,Reference!$A$18:$A$22,0))</f>
        <v>220.6</v>
      </c>
      <c r="AF21" s="13" t="n">
        <f aca="false">IF(AND(Y21=1,P21&lt;&gt;"",AE21&gt;0),P21/AE21,"")</f>
        <v>1.67620126926564</v>
      </c>
      <c r="AG21" s="7" t="s">
        <v>366</v>
      </c>
      <c r="AH21" s="7" t="s">
        <v>367</v>
      </c>
    </row>
    <row r="22" customFormat="false" ht="15" hidden="false" customHeight="false" outlineLevel="0" collapsed="false">
      <c r="A22" s="7" t="n">
        <v>21</v>
      </c>
      <c r="B22" s="7" t="s">
        <v>39</v>
      </c>
      <c r="C22" s="7" t="s">
        <v>340</v>
      </c>
      <c r="D22" s="7" t="s">
        <v>60</v>
      </c>
      <c r="E22" s="7" t="s">
        <v>66</v>
      </c>
      <c r="F22" s="7" t="s">
        <v>67</v>
      </c>
      <c r="G22" s="7" t="s">
        <v>68</v>
      </c>
      <c r="H22" s="7" t="s">
        <v>163</v>
      </c>
      <c r="I22" s="7" t="s">
        <v>191</v>
      </c>
      <c r="J22" s="7"/>
      <c r="K22" s="7" t="s">
        <v>194</v>
      </c>
      <c r="L22" s="7" t="s">
        <v>341</v>
      </c>
      <c r="M22" s="8" t="n">
        <v>1148</v>
      </c>
      <c r="N22" s="8" t="n">
        <v>369.77</v>
      </c>
      <c r="O22" s="7"/>
      <c r="P22" s="8" t="n">
        <v>369.77</v>
      </c>
      <c r="Q22" s="7" t="s">
        <v>342</v>
      </c>
      <c r="R22" s="7" t="n">
        <v>0</v>
      </c>
      <c r="S22" s="8" t="n">
        <v>363.89</v>
      </c>
      <c r="T22" s="8" t="n">
        <v>363.89</v>
      </c>
      <c r="U22" s="8" t="n">
        <v>369.81</v>
      </c>
      <c r="V22" s="7" t="s">
        <v>44</v>
      </c>
      <c r="W22" s="8" t="n">
        <f aca="false">IF(S22&lt;&gt;"",S22,IF(P22&lt;&gt;"",P22,""))</f>
        <v>363.89</v>
      </c>
      <c r="X22" s="7" t="str">
        <f aca="false">IF(S22&lt;&gt;"","median allowed",IF(P22&lt;&gt;"","negotiated",""))</f>
        <v>median allowed</v>
      </c>
      <c r="Y22" s="7" t="n">
        <v>1</v>
      </c>
      <c r="Z22" s="7"/>
      <c r="AA22" s="11" t="n">
        <f aca="false">P27</f>
        <v>369.77</v>
      </c>
      <c r="AB22" s="7" t="s">
        <v>356</v>
      </c>
      <c r="AC22" s="13" t="n">
        <f aca="false">IF(AND(Y22=1,P22&lt;&gt;"",AA22&gt;0),P22/AA22,"")</f>
        <v>1</v>
      </c>
      <c r="AD22" s="7" t="str">
        <f aca="false">IF(AC22="","",IF(OR(AC22&gt;20,AC22&lt;0.2),"REVIEW","ok"))</f>
        <v>ok</v>
      </c>
      <c r="AE22" s="11" t="n">
        <f aca="false">INDEX(Reference!$E$18:$E$22,MATCH(D22,Reference!$A$18:$A$22,0))</f>
        <v>220.6</v>
      </c>
      <c r="AF22" s="13" t="n">
        <f aca="false">IF(AND(Y22=1,P22&lt;&gt;"",AE22&gt;0),P22/AE22,"")</f>
        <v>1.67620126926564</v>
      </c>
      <c r="AG22" s="7" t="s">
        <v>366</v>
      </c>
      <c r="AH22" s="7" t="s">
        <v>368</v>
      </c>
    </row>
    <row r="23" customFormat="false" ht="15" hidden="false" customHeight="false" outlineLevel="0" collapsed="false">
      <c r="A23" s="7" t="n">
        <v>22</v>
      </c>
      <c r="B23" s="7" t="s">
        <v>39</v>
      </c>
      <c r="C23" s="7" t="s">
        <v>340</v>
      </c>
      <c r="D23" s="7" t="s">
        <v>60</v>
      </c>
      <c r="E23" s="7" t="s">
        <v>69</v>
      </c>
      <c r="F23" s="7" t="s">
        <v>70</v>
      </c>
      <c r="G23" s="7" t="s">
        <v>68</v>
      </c>
      <c r="H23" s="7" t="s">
        <v>163</v>
      </c>
      <c r="I23" s="7" t="s">
        <v>191</v>
      </c>
      <c r="J23" s="7"/>
      <c r="K23" s="7" t="s">
        <v>194</v>
      </c>
      <c r="L23" s="7" t="s">
        <v>341</v>
      </c>
      <c r="M23" s="8" t="n">
        <v>1148</v>
      </c>
      <c r="N23" s="8" t="n">
        <v>369.77</v>
      </c>
      <c r="O23" s="7"/>
      <c r="P23" s="8" t="n">
        <v>369.77</v>
      </c>
      <c r="Q23" s="7" t="s">
        <v>342</v>
      </c>
      <c r="R23" s="7" t="n">
        <v>0</v>
      </c>
      <c r="S23" s="8" t="n">
        <v>365.37</v>
      </c>
      <c r="T23" s="8" t="n">
        <v>365.37</v>
      </c>
      <c r="U23" s="8" t="n">
        <v>365.37</v>
      </c>
      <c r="V23" s="7" t="s">
        <v>44</v>
      </c>
      <c r="W23" s="8" t="n">
        <f aca="false">IF(S23&lt;&gt;"",S23,IF(P23&lt;&gt;"",P23,""))</f>
        <v>365.37</v>
      </c>
      <c r="X23" s="7" t="str">
        <f aca="false">IF(S23&lt;&gt;"","median allowed",IF(P23&lt;&gt;"","negotiated",""))</f>
        <v>median allowed</v>
      </c>
      <c r="Y23" s="7" t="n">
        <v>1</v>
      </c>
      <c r="Z23" s="7"/>
      <c r="AA23" s="11" t="n">
        <f aca="false">P27</f>
        <v>369.77</v>
      </c>
      <c r="AB23" s="7" t="s">
        <v>356</v>
      </c>
      <c r="AC23" s="13" t="n">
        <f aca="false">IF(AND(Y23=1,P23&lt;&gt;"",AA23&gt;0),P23/AA23,"")</f>
        <v>1</v>
      </c>
      <c r="AD23" s="7" t="str">
        <f aca="false">IF(AC23="","",IF(OR(AC23&gt;20,AC23&lt;0.2),"REVIEW","ok"))</f>
        <v>ok</v>
      </c>
      <c r="AE23" s="11" t="n">
        <f aca="false">INDEX(Reference!$E$18:$E$22,MATCH(D23,Reference!$A$18:$A$22,0))</f>
        <v>220.6</v>
      </c>
      <c r="AF23" s="13" t="n">
        <f aca="false">IF(AND(Y23=1,P23&lt;&gt;"",AE23&gt;0),P23/AE23,"")</f>
        <v>1.67620126926564</v>
      </c>
      <c r="AG23" s="7" t="s">
        <v>366</v>
      </c>
      <c r="AH23" s="7" t="s">
        <v>369</v>
      </c>
    </row>
    <row r="24" customFormat="false" ht="15" hidden="false" customHeight="false" outlineLevel="0" collapsed="false">
      <c r="A24" s="7" t="n">
        <v>23</v>
      </c>
      <c r="B24" s="7" t="s">
        <v>39</v>
      </c>
      <c r="C24" s="7" t="s">
        <v>340</v>
      </c>
      <c r="D24" s="7" t="s">
        <v>60</v>
      </c>
      <c r="E24" s="7" t="s">
        <v>54</v>
      </c>
      <c r="F24" s="7" t="s">
        <v>55</v>
      </c>
      <c r="G24" s="7" t="s">
        <v>68</v>
      </c>
      <c r="H24" s="7" t="s">
        <v>163</v>
      </c>
      <c r="I24" s="7" t="s">
        <v>191</v>
      </c>
      <c r="J24" s="7"/>
      <c r="K24" s="7" t="s">
        <v>194</v>
      </c>
      <c r="L24" s="7" t="s">
        <v>341</v>
      </c>
      <c r="M24" s="8" t="n">
        <v>1148</v>
      </c>
      <c r="N24" s="8" t="n">
        <v>369.77</v>
      </c>
      <c r="O24" s="7"/>
      <c r="P24" s="8" t="n">
        <v>369.77</v>
      </c>
      <c r="Q24" s="7" t="s">
        <v>342</v>
      </c>
      <c r="R24" s="7" t="n">
        <v>0</v>
      </c>
      <c r="S24" s="8" t="n">
        <v>336.12</v>
      </c>
      <c r="T24" s="8" t="n">
        <v>336.12</v>
      </c>
      <c r="U24" s="8" t="n">
        <v>336.12</v>
      </c>
      <c r="V24" s="7" t="s">
        <v>44</v>
      </c>
      <c r="W24" s="8" t="n">
        <f aca="false">IF(S24&lt;&gt;"",S24,IF(P24&lt;&gt;"",P24,""))</f>
        <v>336.12</v>
      </c>
      <c r="X24" s="7" t="str">
        <f aca="false">IF(S24&lt;&gt;"","median allowed",IF(P24&lt;&gt;"","negotiated",""))</f>
        <v>median allowed</v>
      </c>
      <c r="Y24" s="7" t="n">
        <v>1</v>
      </c>
      <c r="Z24" s="7"/>
      <c r="AA24" s="11" t="n">
        <f aca="false">P27</f>
        <v>369.77</v>
      </c>
      <c r="AB24" s="7" t="s">
        <v>356</v>
      </c>
      <c r="AC24" s="13" t="n">
        <f aca="false">IF(AND(Y24=1,P24&lt;&gt;"",AA24&gt;0),P24/AA24,"")</f>
        <v>1</v>
      </c>
      <c r="AD24" s="7" t="str">
        <f aca="false">IF(AC24="","",IF(OR(AC24&gt;20,AC24&lt;0.2),"REVIEW","ok"))</f>
        <v>ok</v>
      </c>
      <c r="AE24" s="11" t="n">
        <f aca="false">INDEX(Reference!$E$18:$E$22,MATCH(D24,Reference!$A$18:$A$22,0))</f>
        <v>220.6</v>
      </c>
      <c r="AF24" s="13" t="n">
        <f aca="false">IF(AND(Y24=1,P24&lt;&gt;"",AE24&gt;0),P24/AE24,"")</f>
        <v>1.67620126926564</v>
      </c>
      <c r="AG24" s="7" t="s">
        <v>366</v>
      </c>
      <c r="AH24" s="7" t="s">
        <v>370</v>
      </c>
    </row>
    <row r="25" customFormat="false" ht="15" hidden="false" customHeight="false" outlineLevel="0" collapsed="false">
      <c r="A25" s="7" t="n">
        <v>24</v>
      </c>
      <c r="B25" s="7" t="s">
        <v>39</v>
      </c>
      <c r="C25" s="7" t="s">
        <v>340</v>
      </c>
      <c r="D25" s="7" t="s">
        <v>60</v>
      </c>
      <c r="E25" s="7" t="s">
        <v>71</v>
      </c>
      <c r="F25" s="7" t="s">
        <v>72</v>
      </c>
      <c r="G25" s="7" t="s">
        <v>68</v>
      </c>
      <c r="H25" s="7" t="s">
        <v>164</v>
      </c>
      <c r="I25" s="7" t="s">
        <v>191</v>
      </c>
      <c r="J25" s="7"/>
      <c r="K25" s="7" t="s">
        <v>194</v>
      </c>
      <c r="L25" s="7" t="s">
        <v>341</v>
      </c>
      <c r="M25" s="8" t="n">
        <v>1148</v>
      </c>
      <c r="N25" s="8" t="n">
        <v>362.37</v>
      </c>
      <c r="O25" s="7"/>
      <c r="P25" s="8" t="n">
        <v>362.37</v>
      </c>
      <c r="Q25" s="7" t="s">
        <v>342</v>
      </c>
      <c r="R25" s="7" t="n">
        <v>0</v>
      </c>
      <c r="S25" s="8" t="n">
        <v>362.81</v>
      </c>
      <c r="T25" s="8" t="n">
        <v>335.92</v>
      </c>
      <c r="U25" s="8" t="n">
        <v>362.81</v>
      </c>
      <c r="V25" s="7" t="s">
        <v>44</v>
      </c>
      <c r="W25" s="8" t="n">
        <f aca="false">IF(S25&lt;&gt;"",S25,IF(P25&lt;&gt;"",P25,""))</f>
        <v>362.81</v>
      </c>
      <c r="X25" s="7" t="str">
        <f aca="false">IF(S25&lt;&gt;"","median allowed",IF(P25&lt;&gt;"","negotiated",""))</f>
        <v>median allowed</v>
      </c>
      <c r="Y25" s="7" t="n">
        <v>1</v>
      </c>
      <c r="Z25" s="7"/>
      <c r="AA25" s="11" t="n">
        <f aca="false">P27</f>
        <v>369.77</v>
      </c>
      <c r="AB25" s="7" t="s">
        <v>356</v>
      </c>
      <c r="AC25" s="13" t="n">
        <f aca="false">IF(AND(Y25=1,P25&lt;&gt;"",AA25&gt;0),P25/AA25,"")</f>
        <v>0.979987559834492</v>
      </c>
      <c r="AD25" s="7" t="str">
        <f aca="false">IF(AC25="","",IF(OR(AC25&gt;20,AC25&lt;0.2),"REVIEW","ok"))</f>
        <v>ok</v>
      </c>
      <c r="AE25" s="11" t="n">
        <f aca="false">INDEX(Reference!$E$18:$E$22,MATCH(D25,Reference!$A$18:$A$22,0))</f>
        <v>220.6</v>
      </c>
      <c r="AF25" s="13" t="n">
        <f aca="false">IF(AND(Y25=1,P25&lt;&gt;"",AE25&gt;0),P25/AE25,"")</f>
        <v>1.64265639165911</v>
      </c>
      <c r="AG25" s="7" t="s">
        <v>366</v>
      </c>
      <c r="AH25" s="7" t="s">
        <v>371</v>
      </c>
    </row>
    <row r="26" customFormat="false" ht="15" hidden="false" customHeight="false" outlineLevel="0" collapsed="false">
      <c r="A26" s="7" t="n">
        <v>25</v>
      </c>
      <c r="B26" s="7" t="s">
        <v>39</v>
      </c>
      <c r="C26" s="7" t="s">
        <v>340</v>
      </c>
      <c r="D26" s="7" t="s">
        <v>60</v>
      </c>
      <c r="E26" s="7" t="s">
        <v>41</v>
      </c>
      <c r="F26" s="7" t="s">
        <v>42</v>
      </c>
      <c r="G26" s="7" t="s">
        <v>68</v>
      </c>
      <c r="H26" s="7" t="s">
        <v>165</v>
      </c>
      <c r="I26" s="7" t="s">
        <v>191</v>
      </c>
      <c r="J26" s="7"/>
      <c r="K26" s="7" t="s">
        <v>194</v>
      </c>
      <c r="L26" s="7" t="s">
        <v>341</v>
      </c>
      <c r="M26" s="8" t="n">
        <v>1148</v>
      </c>
      <c r="N26" s="8" t="n">
        <v>362.37</v>
      </c>
      <c r="O26" s="7"/>
      <c r="P26" s="8" t="n">
        <v>362.37</v>
      </c>
      <c r="Q26" s="7" t="s">
        <v>342</v>
      </c>
      <c r="R26" s="7" t="n">
        <v>0</v>
      </c>
      <c r="S26" s="8" t="n">
        <v>362.92</v>
      </c>
      <c r="T26" s="8" t="n">
        <v>362.41</v>
      </c>
      <c r="U26" s="8" t="n">
        <v>369.81</v>
      </c>
      <c r="V26" s="7" t="s">
        <v>44</v>
      </c>
      <c r="W26" s="8" t="n">
        <f aca="false">IF(S26&lt;&gt;"",S26,IF(P26&lt;&gt;"",P26,""))</f>
        <v>362.92</v>
      </c>
      <c r="X26" s="7" t="str">
        <f aca="false">IF(S26&lt;&gt;"","median allowed",IF(P26&lt;&gt;"","negotiated",""))</f>
        <v>median allowed</v>
      </c>
      <c r="Y26" s="7" t="n">
        <v>1</v>
      </c>
      <c r="Z26" s="7"/>
      <c r="AA26" s="11" t="n">
        <f aca="false">P27</f>
        <v>369.77</v>
      </c>
      <c r="AB26" s="7" t="s">
        <v>356</v>
      </c>
      <c r="AC26" s="13" t="n">
        <f aca="false">IF(AND(Y26=1,P26&lt;&gt;"",AA26&gt;0),P26/AA26,"")</f>
        <v>0.979987559834492</v>
      </c>
      <c r="AD26" s="7" t="str">
        <f aca="false">IF(AC26="","",IF(OR(AC26&gt;20,AC26&lt;0.2),"REVIEW","ok"))</f>
        <v>ok</v>
      </c>
      <c r="AE26" s="11" t="n">
        <f aca="false">INDEX(Reference!$E$18:$E$22,MATCH(D26,Reference!$A$18:$A$22,0))</f>
        <v>220.6</v>
      </c>
      <c r="AF26" s="13" t="n">
        <f aca="false">IF(AND(Y26=1,P26&lt;&gt;"",AE26&gt;0),P26/AE26,"")</f>
        <v>1.64265639165911</v>
      </c>
      <c r="AG26" s="7" t="s">
        <v>366</v>
      </c>
      <c r="AH26" s="7" t="s">
        <v>372</v>
      </c>
    </row>
    <row r="27" customFormat="false" ht="15" hidden="false" customHeight="false" outlineLevel="0" collapsed="false">
      <c r="A27" s="7" t="n">
        <v>26</v>
      </c>
      <c r="B27" s="7" t="s">
        <v>39</v>
      </c>
      <c r="C27" s="7" t="s">
        <v>340</v>
      </c>
      <c r="D27" s="7" t="s">
        <v>60</v>
      </c>
      <c r="E27" s="7" t="s">
        <v>73</v>
      </c>
      <c r="F27" s="7" t="s">
        <v>74</v>
      </c>
      <c r="G27" s="7" t="s">
        <v>75</v>
      </c>
      <c r="H27" s="7" t="s">
        <v>163</v>
      </c>
      <c r="I27" s="7" t="s">
        <v>191</v>
      </c>
      <c r="J27" s="7"/>
      <c r="K27" s="7" t="s">
        <v>194</v>
      </c>
      <c r="L27" s="7" t="s">
        <v>341</v>
      </c>
      <c r="M27" s="8" t="n">
        <v>1148</v>
      </c>
      <c r="N27" s="8" t="n">
        <v>369.77</v>
      </c>
      <c r="O27" s="7"/>
      <c r="P27" s="8" t="n">
        <v>369.77</v>
      </c>
      <c r="Q27" s="7" t="s">
        <v>342</v>
      </c>
      <c r="R27" s="7" t="n">
        <v>0</v>
      </c>
      <c r="S27" s="8" t="n">
        <v>369.81</v>
      </c>
      <c r="T27" s="8" t="n">
        <v>369.81</v>
      </c>
      <c r="U27" s="8" t="n">
        <v>369.81</v>
      </c>
      <c r="V27" s="7" t="s">
        <v>76</v>
      </c>
      <c r="W27" s="8" t="n">
        <f aca="false">IF(S27&lt;&gt;"",S27,IF(P27&lt;&gt;"",P27,""))</f>
        <v>369.81</v>
      </c>
      <c r="X27" s="7" t="str">
        <f aca="false">IF(S27&lt;&gt;"","median allowed",IF(P27&lt;&gt;"","negotiated",""))</f>
        <v>median allowed</v>
      </c>
      <c r="Y27" s="7" t="n">
        <v>1</v>
      </c>
      <c r="Z27" s="7"/>
      <c r="AA27" s="11" t="n">
        <f aca="false">P27</f>
        <v>369.77</v>
      </c>
      <c r="AB27" s="7" t="s">
        <v>356</v>
      </c>
      <c r="AC27" s="13" t="n">
        <f aca="false">IF(AND(Y27=1,P27&lt;&gt;"",AA27&gt;0),P27/AA27,"")</f>
        <v>1</v>
      </c>
      <c r="AD27" s="7" t="str">
        <f aca="false">IF(AC27="","",IF(OR(AC27&gt;20,AC27&lt;0.2),"REVIEW","ok"))</f>
        <v>ok</v>
      </c>
      <c r="AE27" s="11" t="n">
        <f aca="false">INDEX(Reference!$E$18:$E$22,MATCH(D27,Reference!$A$18:$A$22,0))</f>
        <v>220.6</v>
      </c>
      <c r="AF27" s="13" t="n">
        <f aca="false">IF(AND(Y27=1,P27&lt;&gt;"",AE27&gt;0),P27/AE27,"")</f>
        <v>1.67620126926564</v>
      </c>
      <c r="AG27" s="7" t="s">
        <v>366</v>
      </c>
      <c r="AH27" s="7" t="s">
        <v>373</v>
      </c>
    </row>
    <row r="28" customFormat="false" ht="15" hidden="false" customHeight="false" outlineLevel="0" collapsed="false">
      <c r="A28" s="7" t="n">
        <v>27</v>
      </c>
      <c r="B28" s="7" t="s">
        <v>39</v>
      </c>
      <c r="C28" s="7" t="s">
        <v>340</v>
      </c>
      <c r="D28" s="7" t="s">
        <v>60</v>
      </c>
      <c r="E28" s="7" t="s">
        <v>77</v>
      </c>
      <c r="F28" s="7" t="s">
        <v>78</v>
      </c>
      <c r="G28" s="7" t="s">
        <v>78</v>
      </c>
      <c r="H28" s="7" t="s">
        <v>166</v>
      </c>
      <c r="I28" s="7" t="s">
        <v>191</v>
      </c>
      <c r="J28" s="7"/>
      <c r="K28" s="7" t="s">
        <v>194</v>
      </c>
      <c r="L28" s="7" t="s">
        <v>341</v>
      </c>
      <c r="M28" s="8" t="n">
        <v>1148</v>
      </c>
      <c r="N28" s="8" t="n">
        <v>351.32</v>
      </c>
      <c r="O28" s="7"/>
      <c r="P28" s="8" t="n">
        <v>351.32</v>
      </c>
      <c r="Q28" s="7" t="s">
        <v>342</v>
      </c>
      <c r="R28" s="7" t="n">
        <v>0</v>
      </c>
      <c r="S28" s="8" t="n">
        <v>351.32</v>
      </c>
      <c r="T28" s="8" t="n">
        <v>351.32</v>
      </c>
      <c r="U28" s="8" t="n">
        <v>351.32</v>
      </c>
      <c r="V28" s="7" t="s">
        <v>44</v>
      </c>
      <c r="W28" s="8" t="n">
        <f aca="false">IF(S28&lt;&gt;"",S28,IF(P28&lt;&gt;"",P28,""))</f>
        <v>351.32</v>
      </c>
      <c r="X28" s="7" t="str">
        <f aca="false">IF(S28&lt;&gt;"","median allowed",IF(P28&lt;&gt;"","negotiated",""))</f>
        <v>median allowed</v>
      </c>
      <c r="Y28" s="7" t="n">
        <v>1</v>
      </c>
      <c r="Z28" s="7"/>
      <c r="AA28" s="11" t="n">
        <f aca="false">P27</f>
        <v>369.77</v>
      </c>
      <c r="AB28" s="7" t="s">
        <v>356</v>
      </c>
      <c r="AC28" s="13" t="n">
        <f aca="false">IF(AND(Y28=1,P28&lt;&gt;"",AA28&gt;0),P28/AA28,"")</f>
        <v>0.950104118776537</v>
      </c>
      <c r="AD28" s="7" t="str">
        <f aca="false">IF(AC28="","",IF(OR(AC28&gt;20,AC28&lt;0.2),"REVIEW","ok"))</f>
        <v>ok</v>
      </c>
      <c r="AE28" s="11" t="n">
        <f aca="false">INDEX(Reference!$E$18:$E$22,MATCH(D28,Reference!$A$18:$A$22,0))</f>
        <v>220.6</v>
      </c>
      <c r="AF28" s="13" t="n">
        <f aca="false">IF(AND(Y28=1,P28&lt;&gt;"",AE28&gt;0),P28/AE28,"")</f>
        <v>1.59256572982774</v>
      </c>
      <c r="AG28" s="7" t="s">
        <v>374</v>
      </c>
      <c r="AH28" s="7" t="s">
        <v>375</v>
      </c>
    </row>
    <row r="29" customFormat="false" ht="15" hidden="false" customHeight="false" outlineLevel="0" collapsed="false">
      <c r="A29" s="7" t="n">
        <v>28</v>
      </c>
      <c r="B29" s="7" t="s">
        <v>79</v>
      </c>
      <c r="C29" s="7" t="s">
        <v>376</v>
      </c>
      <c r="D29" s="7" t="s">
        <v>40</v>
      </c>
      <c r="E29" s="7" t="s">
        <v>50</v>
      </c>
      <c r="F29" s="7" t="s">
        <v>49</v>
      </c>
      <c r="G29" s="7" t="s">
        <v>43</v>
      </c>
      <c r="H29" s="7" t="s">
        <v>135</v>
      </c>
      <c r="I29" s="7" t="s">
        <v>188</v>
      </c>
      <c r="J29" s="7"/>
      <c r="K29" s="7" t="s">
        <v>192</v>
      </c>
      <c r="L29" s="7" t="s">
        <v>341</v>
      </c>
      <c r="M29" s="8" t="n">
        <v>431</v>
      </c>
      <c r="N29" s="8" t="n">
        <v>255.58</v>
      </c>
      <c r="O29" s="7" t="n">
        <v>59.3</v>
      </c>
      <c r="P29" s="8" t="n">
        <v>255.58</v>
      </c>
      <c r="Q29" s="7" t="s">
        <v>342</v>
      </c>
      <c r="R29" s="7" t="n">
        <v>1</v>
      </c>
      <c r="S29" s="8" t="n">
        <v>245.53</v>
      </c>
      <c r="T29" s="8" t="n">
        <v>245.53</v>
      </c>
      <c r="U29" s="8" t="n">
        <v>245.53</v>
      </c>
      <c r="V29" s="7" t="s">
        <v>44</v>
      </c>
      <c r="W29" s="8" t="n">
        <f aca="false">IF(S29&lt;&gt;"",S29,IF(P29&lt;&gt;"",P29,""))</f>
        <v>245.53</v>
      </c>
      <c r="X29" s="7" t="str">
        <f aca="false">IF(S29&lt;&gt;"","median allowed",IF(P29&lt;&gt;"","negotiated",""))</f>
        <v>median allowed</v>
      </c>
      <c r="Y29" s="7" t="n">
        <v>1</v>
      </c>
      <c r="Z29" s="7"/>
      <c r="AA29" s="11" t="n">
        <f aca="false">P32</f>
        <v>185.81</v>
      </c>
      <c r="AB29" s="7" t="s">
        <v>356</v>
      </c>
      <c r="AC29" s="13" t="n">
        <f aca="false">IF(AND(Y29=1,P29&lt;&gt;"",AA29&gt;0),P29/AA29,"")</f>
        <v>1.37549109305204</v>
      </c>
      <c r="AD29" s="7" t="str">
        <f aca="false">IF(AC29="","",IF(OR(AC29&gt;20,AC29&lt;0.2),"REVIEW","ok"))</f>
        <v>ok</v>
      </c>
      <c r="AE29" s="11" t="n">
        <f aca="false">INDEX(Reference!$E$18:$E$22,MATCH(D29,Reference!$A$18:$A$22,0))</f>
        <v>131.46</v>
      </c>
      <c r="AF29" s="13" t="n">
        <f aca="false">IF(AND(Y29=1,P29&lt;&gt;"",AE29&gt;0),P29/AE29,"")</f>
        <v>1.94416552563517</v>
      </c>
      <c r="AG29" s="7"/>
      <c r="AH29" s="7" t="s">
        <v>377</v>
      </c>
    </row>
    <row r="30" customFormat="false" ht="15" hidden="false" customHeight="false" outlineLevel="0" collapsed="false">
      <c r="A30" s="7" t="n">
        <v>29</v>
      </c>
      <c r="B30" s="7" t="s">
        <v>79</v>
      </c>
      <c r="C30" s="7" t="s">
        <v>376</v>
      </c>
      <c r="D30" s="7" t="s">
        <v>40</v>
      </c>
      <c r="E30" s="7" t="s">
        <v>41</v>
      </c>
      <c r="F30" s="7" t="s">
        <v>42</v>
      </c>
      <c r="G30" s="7" t="s">
        <v>43</v>
      </c>
      <c r="H30" s="7" t="s">
        <v>137</v>
      </c>
      <c r="I30" s="7" t="s">
        <v>188</v>
      </c>
      <c r="J30" s="7"/>
      <c r="K30" s="7" t="s">
        <v>192</v>
      </c>
      <c r="L30" s="7" t="s">
        <v>341</v>
      </c>
      <c r="M30" s="8" t="n">
        <v>431</v>
      </c>
      <c r="N30" s="8" t="n">
        <v>338.12</v>
      </c>
      <c r="O30" s="7" t="n">
        <v>78.45</v>
      </c>
      <c r="P30" s="8" t="n">
        <v>338.12</v>
      </c>
      <c r="Q30" s="7" t="s">
        <v>342</v>
      </c>
      <c r="R30" s="7" t="n">
        <v>1</v>
      </c>
      <c r="S30" s="8" t="n">
        <v>322.13</v>
      </c>
      <c r="T30" s="8" t="n">
        <v>322.13</v>
      </c>
      <c r="U30" s="8" t="n">
        <v>322.13</v>
      </c>
      <c r="V30" s="7" t="s">
        <v>44</v>
      </c>
      <c r="W30" s="8" t="n">
        <f aca="false">IF(S30&lt;&gt;"",S30,IF(P30&lt;&gt;"",P30,""))</f>
        <v>322.13</v>
      </c>
      <c r="X30" s="7" t="str">
        <f aca="false">IF(S30&lt;&gt;"","median allowed",IF(P30&lt;&gt;"","negotiated",""))</f>
        <v>median allowed</v>
      </c>
      <c r="Y30" s="7" t="n">
        <v>1</v>
      </c>
      <c r="Z30" s="7"/>
      <c r="AA30" s="11" t="n">
        <f aca="false">P32</f>
        <v>185.81</v>
      </c>
      <c r="AB30" s="7" t="s">
        <v>356</v>
      </c>
      <c r="AC30" s="13" t="n">
        <f aca="false">IF(AND(Y30=1,P30&lt;&gt;"",AA30&gt;0),P30/AA30,"")</f>
        <v>1.81970830418169</v>
      </c>
      <c r="AD30" s="7" t="str">
        <f aca="false">IF(AC30="","",IF(OR(AC30&gt;20,AC30&lt;0.2),"REVIEW","ok"))</f>
        <v>ok</v>
      </c>
      <c r="AE30" s="11" t="n">
        <f aca="false">INDEX(Reference!$E$18:$E$22,MATCH(D30,Reference!$A$18:$A$22,0))</f>
        <v>131.46</v>
      </c>
      <c r="AF30" s="13" t="n">
        <f aca="false">IF(AND(Y30=1,P30&lt;&gt;"",AE30&gt;0),P30/AE30,"")</f>
        <v>2.57203712155789</v>
      </c>
      <c r="AG30" s="7"/>
      <c r="AH30" s="7" t="s">
        <v>378</v>
      </c>
    </row>
    <row r="31" customFormat="false" ht="15" hidden="false" customHeight="false" outlineLevel="0" collapsed="false">
      <c r="A31" s="7" t="n">
        <v>30</v>
      </c>
      <c r="B31" s="7" t="s">
        <v>79</v>
      </c>
      <c r="C31" s="7" t="s">
        <v>376</v>
      </c>
      <c r="D31" s="7" t="s">
        <v>40</v>
      </c>
      <c r="E31" s="7" t="s">
        <v>41</v>
      </c>
      <c r="F31" s="7" t="s">
        <v>42</v>
      </c>
      <c r="G31" s="7" t="s">
        <v>68</v>
      </c>
      <c r="H31" s="7" t="s">
        <v>167</v>
      </c>
      <c r="I31" s="7" t="s">
        <v>191</v>
      </c>
      <c r="J31" s="7"/>
      <c r="K31" s="7" t="s">
        <v>194</v>
      </c>
      <c r="L31" s="7" t="s">
        <v>341</v>
      </c>
      <c r="M31" s="8" t="n">
        <v>431</v>
      </c>
      <c r="N31" s="8" t="n">
        <v>182.09</v>
      </c>
      <c r="O31" s="7"/>
      <c r="P31" s="8" t="n">
        <v>182.09</v>
      </c>
      <c r="Q31" s="7" t="s">
        <v>342</v>
      </c>
      <c r="R31" s="7" t="n">
        <v>0</v>
      </c>
      <c r="S31" s="8" t="n">
        <v>182.84</v>
      </c>
      <c r="T31" s="8" t="n">
        <v>182.1</v>
      </c>
      <c r="U31" s="8" t="n">
        <v>183.1</v>
      </c>
      <c r="V31" s="7" t="s">
        <v>44</v>
      </c>
      <c r="W31" s="8" t="n">
        <f aca="false">IF(S31&lt;&gt;"",S31,IF(P31&lt;&gt;"",P31,""))</f>
        <v>182.84</v>
      </c>
      <c r="X31" s="7" t="str">
        <f aca="false">IF(S31&lt;&gt;"","median allowed",IF(P31&lt;&gt;"","negotiated",""))</f>
        <v>median allowed</v>
      </c>
      <c r="Y31" s="7" t="n">
        <v>1</v>
      </c>
      <c r="Z31" s="7"/>
      <c r="AA31" s="11" t="n">
        <f aca="false">P32</f>
        <v>185.81</v>
      </c>
      <c r="AB31" s="7" t="s">
        <v>356</v>
      </c>
      <c r="AC31" s="13" t="n">
        <f aca="false">IF(AND(Y31=1,P31&lt;&gt;"",AA31&gt;0),P31/AA31,"")</f>
        <v>0.979979549001668</v>
      </c>
      <c r="AD31" s="7" t="str">
        <f aca="false">IF(AC31="","",IF(OR(AC31&gt;20,AC31&lt;0.2),"REVIEW","ok"))</f>
        <v>ok</v>
      </c>
      <c r="AE31" s="11" t="n">
        <f aca="false">INDEX(Reference!$E$18:$E$22,MATCH(D31,Reference!$A$18:$A$22,0))</f>
        <v>131.46</v>
      </c>
      <c r="AF31" s="13" t="n">
        <f aca="false">IF(AND(Y31=1,P31&lt;&gt;"",AE31&gt;0),P31/AE31,"")</f>
        <v>1.38513616309143</v>
      </c>
      <c r="AG31" s="7" t="s">
        <v>379</v>
      </c>
      <c r="AH31" s="7" t="s">
        <v>380</v>
      </c>
    </row>
    <row r="32" customFormat="false" ht="15" hidden="false" customHeight="false" outlineLevel="0" collapsed="false">
      <c r="A32" s="7" t="n">
        <v>31</v>
      </c>
      <c r="B32" s="7" t="s">
        <v>79</v>
      </c>
      <c r="C32" s="7" t="s">
        <v>376</v>
      </c>
      <c r="D32" s="7" t="s">
        <v>40</v>
      </c>
      <c r="E32" s="7" t="s">
        <v>73</v>
      </c>
      <c r="F32" s="7" t="s">
        <v>74</v>
      </c>
      <c r="G32" s="7" t="s">
        <v>75</v>
      </c>
      <c r="H32" s="7" t="s">
        <v>139</v>
      </c>
      <c r="I32" s="7" t="s">
        <v>191</v>
      </c>
      <c r="J32" s="7"/>
      <c r="K32" s="7" t="s">
        <v>194</v>
      </c>
      <c r="L32" s="7" t="s">
        <v>341</v>
      </c>
      <c r="M32" s="8" t="n">
        <v>431</v>
      </c>
      <c r="N32" s="8" t="n">
        <v>185.81</v>
      </c>
      <c r="O32" s="7"/>
      <c r="P32" s="8" t="n">
        <v>185.81</v>
      </c>
      <c r="Q32" s="7" t="s">
        <v>342</v>
      </c>
      <c r="R32" s="7" t="n">
        <v>0</v>
      </c>
      <c r="S32" s="8" t="n">
        <v>185.81</v>
      </c>
      <c r="T32" s="8" t="n">
        <v>185.81</v>
      </c>
      <c r="U32" s="8" t="n">
        <v>185.81</v>
      </c>
      <c r="V32" s="7" t="s">
        <v>44</v>
      </c>
      <c r="W32" s="8" t="n">
        <f aca="false">IF(S32&lt;&gt;"",S32,IF(P32&lt;&gt;"",P32,""))</f>
        <v>185.81</v>
      </c>
      <c r="X32" s="7" t="str">
        <f aca="false">IF(S32&lt;&gt;"","median allowed",IF(P32&lt;&gt;"","negotiated",""))</f>
        <v>median allowed</v>
      </c>
      <c r="Y32" s="7" t="n">
        <v>1</v>
      </c>
      <c r="Z32" s="7"/>
      <c r="AA32" s="11" t="n">
        <f aca="false">P32</f>
        <v>185.81</v>
      </c>
      <c r="AB32" s="7" t="s">
        <v>356</v>
      </c>
      <c r="AC32" s="13" t="n">
        <f aca="false">IF(AND(Y32=1,P32&lt;&gt;"",AA32&gt;0),P32/AA32,"")</f>
        <v>1</v>
      </c>
      <c r="AD32" s="7" t="str">
        <f aca="false">IF(AC32="","",IF(OR(AC32&gt;20,AC32&lt;0.2),"REVIEW","ok"))</f>
        <v>ok</v>
      </c>
      <c r="AE32" s="11" t="n">
        <f aca="false">INDEX(Reference!$E$18:$E$22,MATCH(D32,Reference!$A$18:$A$22,0))</f>
        <v>131.46</v>
      </c>
      <c r="AF32" s="13" t="n">
        <f aca="false">IF(AND(Y32=1,P32&lt;&gt;"",AE32&gt;0),P32/AE32,"")</f>
        <v>1.41343374410467</v>
      </c>
      <c r="AG32" s="7" t="s">
        <v>379</v>
      </c>
      <c r="AH32" s="7" t="s">
        <v>381</v>
      </c>
    </row>
    <row r="33" customFormat="false" ht="15" hidden="false" customHeight="false" outlineLevel="0" collapsed="false">
      <c r="A33" s="7" t="n">
        <v>32</v>
      </c>
      <c r="B33" s="7" t="s">
        <v>79</v>
      </c>
      <c r="C33" s="7" t="s">
        <v>376</v>
      </c>
      <c r="D33" s="7" t="s">
        <v>45</v>
      </c>
      <c r="E33" s="7" t="s">
        <v>50</v>
      </c>
      <c r="F33" s="7" t="s">
        <v>49</v>
      </c>
      <c r="G33" s="7" t="s">
        <v>43</v>
      </c>
      <c r="H33" s="7" t="s">
        <v>135</v>
      </c>
      <c r="I33" s="7" t="s">
        <v>188</v>
      </c>
      <c r="J33" s="7"/>
      <c r="K33" s="7" t="s">
        <v>192</v>
      </c>
      <c r="L33" s="7" t="s">
        <v>341</v>
      </c>
      <c r="M33" s="8" t="n">
        <v>696</v>
      </c>
      <c r="N33" s="8" t="n">
        <v>412.73</v>
      </c>
      <c r="O33" s="7" t="n">
        <v>59.3</v>
      </c>
      <c r="P33" s="8" t="n">
        <v>412.73</v>
      </c>
      <c r="Q33" s="7" t="s">
        <v>342</v>
      </c>
      <c r="R33" s="7" t="n">
        <v>1</v>
      </c>
      <c r="S33" s="8" t="n">
        <v>396.72</v>
      </c>
      <c r="T33" s="8" t="n">
        <v>396.72</v>
      </c>
      <c r="U33" s="8" t="n">
        <v>396.72</v>
      </c>
      <c r="V33" s="7" t="s">
        <v>80</v>
      </c>
      <c r="W33" s="8" t="n">
        <f aca="false">IF(S33&lt;&gt;"",S33,IF(P33&lt;&gt;"",P33,""))</f>
        <v>396.72</v>
      </c>
      <c r="X33" s="7" t="str">
        <f aca="false">IF(S33&lt;&gt;"","median allowed",IF(P33&lt;&gt;"","negotiated",""))</f>
        <v>median allowed</v>
      </c>
      <c r="Y33" s="7" t="n">
        <v>1</v>
      </c>
      <c r="Z33" s="7"/>
      <c r="AA33" s="11" t="n">
        <f aca="false">P40</f>
        <v>153.08</v>
      </c>
      <c r="AB33" s="7" t="s">
        <v>356</v>
      </c>
      <c r="AC33" s="13" t="n">
        <f aca="false">IF(AND(Y33=1,P33&lt;&gt;"",AA33&gt;0),P33/AA33,"")</f>
        <v>2.69617193624249</v>
      </c>
      <c r="AD33" s="7" t="str">
        <f aca="false">IF(AC33="","",IF(OR(AC33&gt;20,AC33&lt;0.2),"REVIEW","ok"))</f>
        <v>ok</v>
      </c>
      <c r="AE33" s="11" t="n">
        <f aca="false">INDEX(Reference!$E$18:$E$22,MATCH(D33,Reference!$A$18:$A$22,0))</f>
        <v>135.93</v>
      </c>
      <c r="AF33" s="13" t="n">
        <f aca="false">IF(AND(Y33=1,P33&lt;&gt;"",AE33&gt;0),P33/AE33,"")</f>
        <v>3.03634223497388</v>
      </c>
      <c r="AG33" s="7"/>
      <c r="AH33" s="7" t="s">
        <v>382</v>
      </c>
    </row>
    <row r="34" customFormat="false" ht="15" hidden="false" customHeight="false" outlineLevel="0" collapsed="false">
      <c r="A34" s="7" t="n">
        <v>33</v>
      </c>
      <c r="B34" s="7" t="s">
        <v>79</v>
      </c>
      <c r="C34" s="7" t="s">
        <v>376</v>
      </c>
      <c r="D34" s="7" t="s">
        <v>45</v>
      </c>
      <c r="E34" s="7" t="s">
        <v>81</v>
      </c>
      <c r="F34" s="7" t="s">
        <v>82</v>
      </c>
      <c r="G34" s="7" t="s">
        <v>43</v>
      </c>
      <c r="H34" s="7" t="s">
        <v>136</v>
      </c>
      <c r="I34" s="7" t="s">
        <v>191</v>
      </c>
      <c r="J34" s="7"/>
      <c r="K34" s="7" t="s">
        <v>192</v>
      </c>
      <c r="L34" s="7" t="s">
        <v>341</v>
      </c>
      <c r="M34" s="8" t="n">
        <v>696</v>
      </c>
      <c r="N34" s="8" t="n">
        <v>508.08</v>
      </c>
      <c r="O34" s="7" t="n">
        <v>73</v>
      </c>
      <c r="P34" s="8" t="n">
        <v>508.08</v>
      </c>
      <c r="Q34" s="7" t="s">
        <v>342</v>
      </c>
      <c r="R34" s="7" t="n">
        <v>1</v>
      </c>
      <c r="S34" s="8" t="n">
        <v>494.21</v>
      </c>
      <c r="T34" s="8" t="n">
        <v>479.61</v>
      </c>
      <c r="U34" s="8" t="n">
        <v>494.21</v>
      </c>
      <c r="V34" s="7" t="s">
        <v>44</v>
      </c>
      <c r="W34" s="8" t="n">
        <f aca="false">IF(S34&lt;&gt;"",S34,IF(P34&lt;&gt;"",P34,""))</f>
        <v>494.21</v>
      </c>
      <c r="X34" s="7" t="str">
        <f aca="false">IF(S34&lt;&gt;"","median allowed",IF(P34&lt;&gt;"","negotiated",""))</f>
        <v>median allowed</v>
      </c>
      <c r="Y34" s="7" t="n">
        <v>1</v>
      </c>
      <c r="Z34" s="7"/>
      <c r="AA34" s="11" t="n">
        <f aca="false">P40</f>
        <v>153.08</v>
      </c>
      <c r="AB34" s="7" t="s">
        <v>356</v>
      </c>
      <c r="AC34" s="13" t="n">
        <f aca="false">IF(AND(Y34=1,P34&lt;&gt;"",AA34&gt;0),P34/AA34,"")</f>
        <v>3.31904886333943</v>
      </c>
      <c r="AD34" s="7" t="str">
        <f aca="false">IF(AC34="","",IF(OR(AC34&gt;20,AC34&lt;0.2),"REVIEW","ok"))</f>
        <v>ok</v>
      </c>
      <c r="AE34" s="11" t="n">
        <f aca="false">INDEX(Reference!$E$18:$E$22,MATCH(D34,Reference!$A$18:$A$22,0))</f>
        <v>135.93</v>
      </c>
      <c r="AF34" s="13" t="n">
        <f aca="false">IF(AND(Y34=1,P34&lt;&gt;"",AE34&gt;0),P34/AE34,"")</f>
        <v>3.73780622379166</v>
      </c>
      <c r="AG34" s="7"/>
      <c r="AH34" s="7" t="s">
        <v>383</v>
      </c>
    </row>
    <row r="35" customFormat="false" ht="15" hidden="false" customHeight="false" outlineLevel="0" collapsed="false">
      <c r="A35" s="7" t="n">
        <v>34</v>
      </c>
      <c r="B35" s="7" t="s">
        <v>79</v>
      </c>
      <c r="C35" s="7" t="s">
        <v>376</v>
      </c>
      <c r="D35" s="7" t="s">
        <v>45</v>
      </c>
      <c r="E35" s="7" t="s">
        <v>41</v>
      </c>
      <c r="F35" s="7" t="s">
        <v>42</v>
      </c>
      <c r="G35" s="7" t="s">
        <v>43</v>
      </c>
      <c r="H35" s="7" t="s">
        <v>130</v>
      </c>
      <c r="I35" s="7" t="s">
        <v>188</v>
      </c>
      <c r="J35" s="7"/>
      <c r="K35" s="7" t="s">
        <v>192</v>
      </c>
      <c r="L35" s="7" t="s">
        <v>341</v>
      </c>
      <c r="M35" s="8" t="n">
        <v>696</v>
      </c>
      <c r="N35" s="8" t="n">
        <v>309.37</v>
      </c>
      <c r="O35" s="7" t="n">
        <v>44.45</v>
      </c>
      <c r="P35" s="8" t="n">
        <v>309.37</v>
      </c>
      <c r="Q35" s="7" t="s">
        <v>342</v>
      </c>
      <c r="R35" s="7" t="n">
        <v>1</v>
      </c>
      <c r="S35" s="8" t="n">
        <v>308.44</v>
      </c>
      <c r="T35" s="8" t="n">
        <v>308.44</v>
      </c>
      <c r="U35" s="8" t="n">
        <v>308.44</v>
      </c>
      <c r="V35" s="7" t="s">
        <v>44</v>
      </c>
      <c r="W35" s="8" t="n">
        <f aca="false">IF(S35&lt;&gt;"",S35,IF(P35&lt;&gt;"",P35,""))</f>
        <v>308.44</v>
      </c>
      <c r="X35" s="7" t="str">
        <f aca="false">IF(S35&lt;&gt;"","median allowed",IF(P35&lt;&gt;"","negotiated",""))</f>
        <v>median allowed</v>
      </c>
      <c r="Y35" s="7" t="n">
        <v>1</v>
      </c>
      <c r="Z35" s="7"/>
      <c r="AA35" s="11" t="n">
        <f aca="false">P40</f>
        <v>153.08</v>
      </c>
      <c r="AB35" s="7" t="s">
        <v>356</v>
      </c>
      <c r="AC35" s="13" t="n">
        <f aca="false">IF(AND(Y35=1,P35&lt;&gt;"",AA35&gt;0),P35/AA35,"")</f>
        <v>2.0209694277502</v>
      </c>
      <c r="AD35" s="7" t="str">
        <f aca="false">IF(AC35="","",IF(OR(AC35&gt;20,AC35&lt;0.2),"REVIEW","ok"))</f>
        <v>ok</v>
      </c>
      <c r="AE35" s="11" t="n">
        <f aca="false">INDEX(Reference!$E$18:$E$22,MATCH(D35,Reference!$A$18:$A$22,0))</f>
        <v>135.93</v>
      </c>
      <c r="AF35" s="13" t="n">
        <f aca="false">IF(AND(Y35=1,P35&lt;&gt;"",AE35&gt;0),P35/AE35,"")</f>
        <v>2.27595085705878</v>
      </c>
      <c r="AG35" s="7"/>
      <c r="AH35" s="7" t="s">
        <v>384</v>
      </c>
    </row>
    <row r="36" customFormat="false" ht="15" hidden="false" customHeight="false" outlineLevel="0" collapsed="false">
      <c r="A36" s="7" t="n">
        <v>35</v>
      </c>
      <c r="B36" s="7" t="s">
        <v>79</v>
      </c>
      <c r="C36" s="7" t="s">
        <v>376</v>
      </c>
      <c r="D36" s="7" t="s">
        <v>45</v>
      </c>
      <c r="E36" s="7" t="s">
        <v>41</v>
      </c>
      <c r="F36" s="7" t="s">
        <v>42</v>
      </c>
      <c r="G36" s="7" t="s">
        <v>43</v>
      </c>
      <c r="H36" s="7" t="s">
        <v>137</v>
      </c>
      <c r="I36" s="7" t="s">
        <v>188</v>
      </c>
      <c r="J36" s="7"/>
      <c r="K36" s="7" t="s">
        <v>192</v>
      </c>
      <c r="L36" s="7" t="s">
        <v>341</v>
      </c>
      <c r="M36" s="8" t="n">
        <v>696</v>
      </c>
      <c r="N36" s="8" t="n">
        <v>546.01</v>
      </c>
      <c r="O36" s="7" t="n">
        <v>78.45</v>
      </c>
      <c r="P36" s="8" t="n">
        <v>546.01</v>
      </c>
      <c r="Q36" s="7" t="s">
        <v>342</v>
      </c>
      <c r="R36" s="7" t="n">
        <v>1</v>
      </c>
      <c r="S36" s="8" t="n">
        <v>520.48</v>
      </c>
      <c r="T36" s="8" t="n">
        <v>308.44</v>
      </c>
      <c r="U36" s="8" t="n">
        <v>520.48</v>
      </c>
      <c r="V36" s="7" t="s">
        <v>385</v>
      </c>
      <c r="W36" s="8" t="n">
        <f aca="false">IF(S36&lt;&gt;"",S36,IF(P36&lt;&gt;"",P36,""))</f>
        <v>520.48</v>
      </c>
      <c r="X36" s="7" t="str">
        <f aca="false">IF(S36&lt;&gt;"","median allowed",IF(P36&lt;&gt;"","negotiated",""))</f>
        <v>median allowed</v>
      </c>
      <c r="Y36" s="7" t="n">
        <v>1</v>
      </c>
      <c r="Z36" s="7"/>
      <c r="AA36" s="11" t="n">
        <f aca="false">P40</f>
        <v>153.08</v>
      </c>
      <c r="AB36" s="7" t="s">
        <v>356</v>
      </c>
      <c r="AC36" s="13" t="n">
        <f aca="false">IF(AND(Y36=1,P36&lt;&gt;"",AA36&gt;0),P36/AA36,"")</f>
        <v>3.56682780245623</v>
      </c>
      <c r="AD36" s="7" t="str">
        <f aca="false">IF(AC36="","",IF(OR(AC36&gt;20,AC36&lt;0.2),"REVIEW","ok"))</f>
        <v>ok</v>
      </c>
      <c r="AE36" s="11" t="n">
        <f aca="false">INDEX(Reference!$E$18:$E$22,MATCH(D36,Reference!$A$18:$A$22,0))</f>
        <v>135.93</v>
      </c>
      <c r="AF36" s="13" t="n">
        <f aca="false">IF(AND(Y36=1,P36&lt;&gt;"",AE36&gt;0),P36/AE36,"")</f>
        <v>4.01684690649599</v>
      </c>
      <c r="AG36" s="7"/>
      <c r="AH36" s="7" t="s">
        <v>386</v>
      </c>
    </row>
    <row r="37" customFormat="false" ht="15" hidden="false" customHeight="false" outlineLevel="0" collapsed="false">
      <c r="A37" s="7" t="n">
        <v>36</v>
      </c>
      <c r="B37" s="7" t="s">
        <v>79</v>
      </c>
      <c r="C37" s="7" t="s">
        <v>376</v>
      </c>
      <c r="D37" s="7" t="s">
        <v>45</v>
      </c>
      <c r="E37" s="7" t="s">
        <v>58</v>
      </c>
      <c r="F37" s="7" t="s">
        <v>59</v>
      </c>
      <c r="G37" s="7" t="s">
        <v>43</v>
      </c>
      <c r="H37" s="7" t="s">
        <v>138</v>
      </c>
      <c r="I37" s="7" t="s">
        <v>191</v>
      </c>
      <c r="J37" s="7"/>
      <c r="K37" s="7" t="s">
        <v>192</v>
      </c>
      <c r="L37" s="7" t="s">
        <v>341</v>
      </c>
      <c r="M37" s="8" t="n">
        <v>696</v>
      </c>
      <c r="N37" s="8" t="n">
        <v>542.25</v>
      </c>
      <c r="O37" s="7" t="n">
        <v>77.91</v>
      </c>
      <c r="P37" s="8" t="n">
        <v>542.25</v>
      </c>
      <c r="Q37" s="7" t="s">
        <v>342</v>
      </c>
      <c r="R37" s="7" t="n">
        <v>1</v>
      </c>
      <c r="S37" s="8" t="n">
        <v>677</v>
      </c>
      <c r="T37" s="8" t="n">
        <v>533.21</v>
      </c>
      <c r="U37" s="8" t="n">
        <v>1210.21</v>
      </c>
      <c r="V37" s="7" t="s">
        <v>44</v>
      </c>
      <c r="W37" s="8" t="n">
        <f aca="false">IF(S37&lt;&gt;"",S37,IF(P37&lt;&gt;"",P37,""))</f>
        <v>677</v>
      </c>
      <c r="X37" s="7" t="str">
        <f aca="false">IF(S37&lt;&gt;"","median allowed",IF(P37&lt;&gt;"","negotiated",""))</f>
        <v>median allowed</v>
      </c>
      <c r="Y37" s="7" t="n">
        <v>1</v>
      </c>
      <c r="Z37" s="7"/>
      <c r="AA37" s="11" t="n">
        <f aca="false">P40</f>
        <v>153.08</v>
      </c>
      <c r="AB37" s="7" t="s">
        <v>356</v>
      </c>
      <c r="AC37" s="13" t="n">
        <f aca="false">IF(AND(Y37=1,P37&lt;&gt;"",AA37&gt;0),P37/AA37,"")</f>
        <v>3.54226548210086</v>
      </c>
      <c r="AD37" s="7" t="str">
        <f aca="false">IF(AC37="","",IF(OR(AC37&gt;20,AC37&lt;0.2),"REVIEW","ok"))</f>
        <v>ok</v>
      </c>
      <c r="AE37" s="11" t="n">
        <f aca="false">INDEX(Reference!$E$18:$E$22,MATCH(D37,Reference!$A$18:$A$22,0))</f>
        <v>135.93</v>
      </c>
      <c r="AF37" s="13" t="n">
        <f aca="false">IF(AND(Y37=1,P37&lt;&gt;"",AE37&gt;0),P37/AE37,"")</f>
        <v>3.98918561024056</v>
      </c>
      <c r="AG37" s="7"/>
      <c r="AH37" s="7" t="s">
        <v>387</v>
      </c>
    </row>
    <row r="38" customFormat="false" ht="15" hidden="false" customHeight="false" outlineLevel="0" collapsed="false">
      <c r="A38" s="7" t="n">
        <v>37</v>
      </c>
      <c r="B38" s="7" t="s">
        <v>79</v>
      </c>
      <c r="C38" s="7" t="s">
        <v>376</v>
      </c>
      <c r="D38" s="7" t="s">
        <v>45</v>
      </c>
      <c r="E38" s="7" t="s">
        <v>66</v>
      </c>
      <c r="F38" s="7" t="s">
        <v>67</v>
      </c>
      <c r="G38" s="7" t="s">
        <v>68</v>
      </c>
      <c r="H38" s="7" t="s">
        <v>139</v>
      </c>
      <c r="I38" s="7" t="s">
        <v>191</v>
      </c>
      <c r="J38" s="7"/>
      <c r="K38" s="7" t="s">
        <v>194</v>
      </c>
      <c r="L38" s="7" t="s">
        <v>341</v>
      </c>
      <c r="M38" s="8" t="n">
        <v>696</v>
      </c>
      <c r="N38" s="8" t="n">
        <v>153.08</v>
      </c>
      <c r="O38" s="7"/>
      <c r="P38" s="8" t="n">
        <v>153.08</v>
      </c>
      <c r="Q38" s="7" t="s">
        <v>342</v>
      </c>
      <c r="R38" s="7" t="n">
        <v>0</v>
      </c>
      <c r="S38" s="8" t="n">
        <v>171.01</v>
      </c>
      <c r="T38" s="8" t="n">
        <v>132.59</v>
      </c>
      <c r="U38" s="8" t="n">
        <v>171.01</v>
      </c>
      <c r="V38" s="7" t="s">
        <v>44</v>
      </c>
      <c r="W38" s="8" t="n">
        <f aca="false">IF(S38&lt;&gt;"",S38,IF(P38&lt;&gt;"",P38,""))</f>
        <v>171.01</v>
      </c>
      <c r="X38" s="7" t="str">
        <f aca="false">IF(S38&lt;&gt;"","median allowed",IF(P38&lt;&gt;"","negotiated",""))</f>
        <v>median allowed</v>
      </c>
      <c r="Y38" s="7" t="n">
        <v>1</v>
      </c>
      <c r="Z38" s="7"/>
      <c r="AA38" s="11" t="n">
        <f aca="false">P40</f>
        <v>153.08</v>
      </c>
      <c r="AB38" s="7" t="s">
        <v>356</v>
      </c>
      <c r="AC38" s="13" t="n">
        <f aca="false">IF(AND(Y38=1,P38&lt;&gt;"",AA38&gt;0),P38/AA38,"")</f>
        <v>1</v>
      </c>
      <c r="AD38" s="7" t="str">
        <f aca="false">IF(AC38="","",IF(OR(AC38&gt;20,AC38&lt;0.2),"REVIEW","ok"))</f>
        <v>ok</v>
      </c>
      <c r="AE38" s="11" t="n">
        <f aca="false">INDEX(Reference!$E$18:$E$22,MATCH(D38,Reference!$A$18:$A$22,0))</f>
        <v>135.93</v>
      </c>
      <c r="AF38" s="13" t="n">
        <f aca="false">IF(AND(Y38=1,P38&lt;&gt;"",AE38&gt;0),P38/AE38,"")</f>
        <v>1.12616788052674</v>
      </c>
      <c r="AG38" s="7" t="s">
        <v>388</v>
      </c>
      <c r="AH38" s="7" t="s">
        <v>389</v>
      </c>
    </row>
    <row r="39" customFormat="false" ht="15" hidden="false" customHeight="false" outlineLevel="0" collapsed="false">
      <c r="A39" s="7" t="n">
        <v>38</v>
      </c>
      <c r="B39" s="7" t="s">
        <v>79</v>
      </c>
      <c r="C39" s="7" t="s">
        <v>376</v>
      </c>
      <c r="D39" s="7" t="s">
        <v>45</v>
      </c>
      <c r="E39" s="7" t="s">
        <v>84</v>
      </c>
      <c r="F39" s="7" t="s">
        <v>85</v>
      </c>
      <c r="G39" s="7" t="s">
        <v>68</v>
      </c>
      <c r="H39" s="7" t="s">
        <v>139</v>
      </c>
      <c r="I39" s="7" t="s">
        <v>191</v>
      </c>
      <c r="J39" s="7"/>
      <c r="K39" s="7" t="s">
        <v>194</v>
      </c>
      <c r="L39" s="7" t="s">
        <v>341</v>
      </c>
      <c r="M39" s="8" t="n">
        <v>696</v>
      </c>
      <c r="N39" s="8" t="n">
        <v>153.08</v>
      </c>
      <c r="O39" s="7"/>
      <c r="P39" s="8" t="n">
        <v>153.08</v>
      </c>
      <c r="Q39" s="7" t="s">
        <v>342</v>
      </c>
      <c r="R39" s="7" t="n">
        <v>0</v>
      </c>
      <c r="S39" s="8" t="n">
        <v>168.27</v>
      </c>
      <c r="T39" s="8" t="n">
        <v>168.27</v>
      </c>
      <c r="U39" s="8" t="n">
        <v>168.27</v>
      </c>
      <c r="V39" s="7" t="s">
        <v>44</v>
      </c>
      <c r="W39" s="8" t="n">
        <f aca="false">IF(S39&lt;&gt;"",S39,IF(P39&lt;&gt;"",P39,""))</f>
        <v>168.27</v>
      </c>
      <c r="X39" s="7" t="str">
        <f aca="false">IF(S39&lt;&gt;"","median allowed",IF(P39&lt;&gt;"","negotiated",""))</f>
        <v>median allowed</v>
      </c>
      <c r="Y39" s="7" t="n">
        <v>1</v>
      </c>
      <c r="Z39" s="7"/>
      <c r="AA39" s="11" t="n">
        <f aca="false">P40</f>
        <v>153.08</v>
      </c>
      <c r="AB39" s="7" t="s">
        <v>356</v>
      </c>
      <c r="AC39" s="13" t="n">
        <f aca="false">IF(AND(Y39=1,P39&lt;&gt;"",AA39&gt;0),P39/AA39,"")</f>
        <v>1</v>
      </c>
      <c r="AD39" s="7" t="str">
        <f aca="false">IF(AC39="","",IF(OR(AC39&gt;20,AC39&lt;0.2),"REVIEW","ok"))</f>
        <v>ok</v>
      </c>
      <c r="AE39" s="11" t="n">
        <f aca="false">INDEX(Reference!$E$18:$E$22,MATCH(D39,Reference!$A$18:$A$22,0))</f>
        <v>135.93</v>
      </c>
      <c r="AF39" s="13" t="n">
        <f aca="false">IF(AND(Y39=1,P39&lt;&gt;"",AE39&gt;0),P39/AE39,"")</f>
        <v>1.12616788052674</v>
      </c>
      <c r="AG39" s="7" t="s">
        <v>388</v>
      </c>
      <c r="AH39" s="7" t="s">
        <v>390</v>
      </c>
    </row>
    <row r="40" customFormat="false" ht="15" hidden="false" customHeight="false" outlineLevel="0" collapsed="false">
      <c r="A40" s="7" t="n">
        <v>39</v>
      </c>
      <c r="B40" s="7" t="s">
        <v>79</v>
      </c>
      <c r="C40" s="7" t="s">
        <v>376</v>
      </c>
      <c r="D40" s="7" t="s">
        <v>45</v>
      </c>
      <c r="E40" s="7" t="s">
        <v>73</v>
      </c>
      <c r="F40" s="7" t="s">
        <v>74</v>
      </c>
      <c r="G40" s="7" t="s">
        <v>75</v>
      </c>
      <c r="H40" s="7" t="s">
        <v>139</v>
      </c>
      <c r="I40" s="7" t="s">
        <v>191</v>
      </c>
      <c r="J40" s="7"/>
      <c r="K40" s="7" t="s">
        <v>194</v>
      </c>
      <c r="L40" s="7" t="s">
        <v>341</v>
      </c>
      <c r="M40" s="8" t="n">
        <v>696</v>
      </c>
      <c r="N40" s="8" t="n">
        <v>153.08</v>
      </c>
      <c r="O40" s="7"/>
      <c r="P40" s="8" t="n">
        <v>153.08</v>
      </c>
      <c r="Q40" s="7" t="s">
        <v>342</v>
      </c>
      <c r="R40" s="7" t="n">
        <v>0</v>
      </c>
      <c r="S40" s="8" t="n">
        <v>306.16</v>
      </c>
      <c r="T40" s="8" t="n">
        <v>306.16</v>
      </c>
      <c r="U40" s="8" t="n">
        <v>306.16</v>
      </c>
      <c r="V40" s="7" t="s">
        <v>44</v>
      </c>
      <c r="W40" s="8" t="n">
        <f aca="false">IF(S40&lt;&gt;"",S40,IF(P40&lt;&gt;"",P40,""))</f>
        <v>306.16</v>
      </c>
      <c r="X40" s="7" t="str">
        <f aca="false">IF(S40&lt;&gt;"","median allowed",IF(P40&lt;&gt;"","negotiated",""))</f>
        <v>median allowed</v>
      </c>
      <c r="Y40" s="7" t="n">
        <v>1</v>
      </c>
      <c r="Z40" s="7"/>
      <c r="AA40" s="11" t="n">
        <f aca="false">P40</f>
        <v>153.08</v>
      </c>
      <c r="AB40" s="7" t="s">
        <v>356</v>
      </c>
      <c r="AC40" s="13" t="n">
        <f aca="false">IF(AND(Y40=1,P40&lt;&gt;"",AA40&gt;0),P40/AA40,"")</f>
        <v>1</v>
      </c>
      <c r="AD40" s="7" t="str">
        <f aca="false">IF(AC40="","",IF(OR(AC40&gt;20,AC40&lt;0.2),"REVIEW","ok"))</f>
        <v>ok</v>
      </c>
      <c r="AE40" s="11" t="n">
        <f aca="false">INDEX(Reference!$E$18:$E$22,MATCH(D40,Reference!$A$18:$A$22,0))</f>
        <v>135.93</v>
      </c>
      <c r="AF40" s="13" t="n">
        <f aca="false">IF(AND(Y40=1,P40&lt;&gt;"",AE40&gt;0),P40/AE40,"")</f>
        <v>1.12616788052674</v>
      </c>
      <c r="AG40" s="7" t="s">
        <v>388</v>
      </c>
      <c r="AH40" s="7" t="s">
        <v>391</v>
      </c>
    </row>
    <row r="41" customFormat="false" ht="15" hidden="false" customHeight="false" outlineLevel="0" collapsed="false">
      <c r="A41" s="7" t="n">
        <v>40</v>
      </c>
      <c r="B41" s="7" t="s">
        <v>79</v>
      </c>
      <c r="C41" s="7" t="s">
        <v>376</v>
      </c>
      <c r="D41" s="7" t="s">
        <v>60</v>
      </c>
      <c r="E41" s="7" t="s">
        <v>50</v>
      </c>
      <c r="F41" s="7" t="s">
        <v>49</v>
      </c>
      <c r="G41" s="7" t="s">
        <v>43</v>
      </c>
      <c r="H41" s="7" t="s">
        <v>135</v>
      </c>
      <c r="I41" s="7" t="s">
        <v>188</v>
      </c>
      <c r="J41" s="7"/>
      <c r="K41" s="7" t="s">
        <v>192</v>
      </c>
      <c r="L41" s="7" t="s">
        <v>341</v>
      </c>
      <c r="M41" s="8" t="n">
        <v>809</v>
      </c>
      <c r="N41" s="8" t="n">
        <v>479.74</v>
      </c>
      <c r="O41" s="7" t="n">
        <v>59.3</v>
      </c>
      <c r="P41" s="8" t="n">
        <v>479.74</v>
      </c>
      <c r="Q41" s="7" t="s">
        <v>342</v>
      </c>
      <c r="R41" s="7" t="n">
        <v>1</v>
      </c>
      <c r="S41" s="8" t="n">
        <v>461.18</v>
      </c>
      <c r="T41" s="8" t="n">
        <v>461.18</v>
      </c>
      <c r="U41" s="8" t="n">
        <v>461.18</v>
      </c>
      <c r="V41" s="7" t="s">
        <v>80</v>
      </c>
      <c r="W41" s="8" t="n">
        <f aca="false">IF(S41&lt;&gt;"",S41,IF(P41&lt;&gt;"",P41,""))</f>
        <v>461.18</v>
      </c>
      <c r="X41" s="7" t="str">
        <f aca="false">IF(S41&lt;&gt;"","median allowed",IF(P41&lt;&gt;"","negotiated",""))</f>
        <v>median allowed</v>
      </c>
      <c r="Y41" s="7" t="n">
        <v>1</v>
      </c>
      <c r="Z41" s="7"/>
      <c r="AA41" s="11" t="n">
        <f aca="false">P53</f>
        <v>369.81</v>
      </c>
      <c r="AB41" s="7" t="s">
        <v>356</v>
      </c>
      <c r="AC41" s="13" t="n">
        <f aca="false">IF(AND(Y41=1,P41&lt;&gt;"",AA41&gt;0),P41/AA41,"")</f>
        <v>1.29726075552311</v>
      </c>
      <c r="AD41" s="7" t="str">
        <f aca="false">IF(AC41="","",IF(OR(AC41&gt;20,AC41&lt;0.2),"REVIEW","ok"))</f>
        <v>ok</v>
      </c>
      <c r="AE41" s="11" t="n">
        <f aca="false">INDEX(Reference!$E$18:$E$22,MATCH(D41,Reference!$A$18:$A$22,0))</f>
        <v>220.6</v>
      </c>
      <c r="AF41" s="13" t="n">
        <f aca="false">IF(AND(Y41=1,P41&lt;&gt;"",AE41&gt;0),P41/AE41,"")</f>
        <v>2.17470534904805</v>
      </c>
      <c r="AG41" s="7"/>
      <c r="AH41" s="7" t="s">
        <v>392</v>
      </c>
    </row>
    <row r="42" customFormat="false" ht="15" hidden="false" customHeight="false" outlineLevel="0" collapsed="false">
      <c r="A42" s="7" t="n">
        <v>41</v>
      </c>
      <c r="B42" s="7" t="s">
        <v>79</v>
      </c>
      <c r="C42" s="7" t="s">
        <v>376</v>
      </c>
      <c r="D42" s="7" t="s">
        <v>60</v>
      </c>
      <c r="E42" s="7" t="s">
        <v>81</v>
      </c>
      <c r="F42" s="7" t="s">
        <v>82</v>
      </c>
      <c r="G42" s="7" t="s">
        <v>43</v>
      </c>
      <c r="H42" s="7" t="s">
        <v>136</v>
      </c>
      <c r="I42" s="7" t="s">
        <v>191</v>
      </c>
      <c r="J42" s="7"/>
      <c r="K42" s="7" t="s">
        <v>192</v>
      </c>
      <c r="L42" s="7" t="s">
        <v>341</v>
      </c>
      <c r="M42" s="8" t="n">
        <v>809</v>
      </c>
      <c r="N42" s="8" t="n">
        <v>590.57</v>
      </c>
      <c r="O42" s="7" t="n">
        <v>73</v>
      </c>
      <c r="P42" s="8" t="n">
        <v>590.57</v>
      </c>
      <c r="Q42" s="7" t="s">
        <v>342</v>
      </c>
      <c r="R42" s="7" t="n">
        <v>1</v>
      </c>
      <c r="S42" s="8" t="n">
        <v>574.51</v>
      </c>
      <c r="T42" s="8" t="n">
        <v>557.72</v>
      </c>
      <c r="U42" s="8" t="n">
        <v>574.51</v>
      </c>
      <c r="V42" s="7" t="s">
        <v>44</v>
      </c>
      <c r="W42" s="8" t="n">
        <f aca="false">IF(S42&lt;&gt;"",S42,IF(P42&lt;&gt;"",P42,""))</f>
        <v>574.51</v>
      </c>
      <c r="X42" s="7" t="str">
        <f aca="false">IF(S42&lt;&gt;"","median allowed",IF(P42&lt;&gt;"","negotiated",""))</f>
        <v>median allowed</v>
      </c>
      <c r="Y42" s="7" t="n">
        <v>1</v>
      </c>
      <c r="Z42" s="7"/>
      <c r="AA42" s="11" t="n">
        <f aca="false">P53</f>
        <v>369.81</v>
      </c>
      <c r="AB42" s="7" t="s">
        <v>356</v>
      </c>
      <c r="AC42" s="13" t="n">
        <f aca="false">IF(AND(Y42=1,P42&lt;&gt;"",AA42&gt;0),P42/AA42,"")</f>
        <v>1.59695519320732</v>
      </c>
      <c r="AD42" s="7" t="str">
        <f aca="false">IF(AC42="","",IF(OR(AC42&gt;20,AC42&lt;0.2),"REVIEW","ok"))</f>
        <v>ok</v>
      </c>
      <c r="AE42" s="11" t="n">
        <f aca="false">INDEX(Reference!$E$18:$E$22,MATCH(D42,Reference!$A$18:$A$22,0))</f>
        <v>220.6</v>
      </c>
      <c r="AF42" s="13" t="n">
        <f aca="false">IF(AND(Y42=1,P42&lt;&gt;"",AE42&gt;0),P42/AE42,"")</f>
        <v>2.67710788757933</v>
      </c>
      <c r="AG42" s="7"/>
      <c r="AH42" s="7" t="s">
        <v>393</v>
      </c>
    </row>
    <row r="43" customFormat="false" ht="15" hidden="false" customHeight="false" outlineLevel="0" collapsed="false">
      <c r="A43" s="7" t="n">
        <v>42</v>
      </c>
      <c r="B43" s="7" t="s">
        <v>79</v>
      </c>
      <c r="C43" s="7" t="s">
        <v>376</v>
      </c>
      <c r="D43" s="7" t="s">
        <v>60</v>
      </c>
      <c r="E43" s="7" t="s">
        <v>41</v>
      </c>
      <c r="F43" s="7" t="s">
        <v>42</v>
      </c>
      <c r="G43" s="7" t="s">
        <v>43</v>
      </c>
      <c r="H43" s="7" t="s">
        <v>130</v>
      </c>
      <c r="I43" s="7" t="s">
        <v>188</v>
      </c>
      <c r="J43" s="7"/>
      <c r="K43" s="7" t="s">
        <v>192</v>
      </c>
      <c r="L43" s="7" t="s">
        <v>341</v>
      </c>
      <c r="M43" s="8" t="n">
        <v>809</v>
      </c>
      <c r="N43" s="8" t="n">
        <v>359.6</v>
      </c>
      <c r="O43" s="7" t="n">
        <v>44.45</v>
      </c>
      <c r="P43" s="8" t="n">
        <v>359.6</v>
      </c>
      <c r="Q43" s="7" t="s">
        <v>342</v>
      </c>
      <c r="R43" s="7" t="n">
        <v>1</v>
      </c>
      <c r="S43" s="8" t="n">
        <v>358.56</v>
      </c>
      <c r="T43" s="8" t="n">
        <v>358.56</v>
      </c>
      <c r="U43" s="8" t="n">
        <v>358.56</v>
      </c>
      <c r="V43" s="7" t="s">
        <v>44</v>
      </c>
      <c r="W43" s="8" t="n">
        <f aca="false">IF(S43&lt;&gt;"",S43,IF(P43&lt;&gt;"",P43,""))</f>
        <v>358.56</v>
      </c>
      <c r="X43" s="7" t="str">
        <f aca="false">IF(S43&lt;&gt;"","median allowed",IF(P43&lt;&gt;"","negotiated",""))</f>
        <v>median allowed</v>
      </c>
      <c r="Y43" s="7" t="n">
        <v>1</v>
      </c>
      <c r="Z43" s="7"/>
      <c r="AA43" s="11" t="n">
        <f aca="false">P53</f>
        <v>369.81</v>
      </c>
      <c r="AB43" s="7" t="s">
        <v>356</v>
      </c>
      <c r="AC43" s="13" t="n">
        <f aca="false">IF(AND(Y43=1,P43&lt;&gt;"",AA43&gt;0),P43/AA43,"")</f>
        <v>0.972391227927855</v>
      </c>
      <c r="AD43" s="7" t="str">
        <f aca="false">IF(AC43="","",IF(OR(AC43&gt;20,AC43&lt;0.2),"REVIEW","ok"))</f>
        <v>ok</v>
      </c>
      <c r="AE43" s="11" t="n">
        <f aca="false">INDEX(Reference!$E$18:$E$22,MATCH(D43,Reference!$A$18:$A$22,0))</f>
        <v>220.6</v>
      </c>
      <c r="AF43" s="13" t="n">
        <f aca="false">IF(AND(Y43=1,P43&lt;&gt;"",AE43&gt;0),P43/AE43,"")</f>
        <v>1.63009972801451</v>
      </c>
      <c r="AG43" s="7"/>
      <c r="AH43" s="7" t="s">
        <v>394</v>
      </c>
    </row>
    <row r="44" customFormat="false" ht="15" hidden="false" customHeight="false" outlineLevel="0" collapsed="false">
      <c r="A44" s="7" t="n">
        <v>43</v>
      </c>
      <c r="B44" s="7" t="s">
        <v>79</v>
      </c>
      <c r="C44" s="7" t="s">
        <v>376</v>
      </c>
      <c r="D44" s="7" t="s">
        <v>60</v>
      </c>
      <c r="E44" s="7" t="s">
        <v>41</v>
      </c>
      <c r="F44" s="7" t="s">
        <v>42</v>
      </c>
      <c r="G44" s="7" t="s">
        <v>43</v>
      </c>
      <c r="H44" s="7" t="s">
        <v>137</v>
      </c>
      <c r="I44" s="7" t="s">
        <v>188</v>
      </c>
      <c r="J44" s="7"/>
      <c r="K44" s="7" t="s">
        <v>192</v>
      </c>
      <c r="L44" s="7" t="s">
        <v>341</v>
      </c>
      <c r="M44" s="8" t="n">
        <v>809</v>
      </c>
      <c r="N44" s="8" t="n">
        <v>634.66</v>
      </c>
      <c r="O44" s="7" t="n">
        <v>78.45</v>
      </c>
      <c r="P44" s="8" t="n">
        <v>634.66</v>
      </c>
      <c r="Q44" s="7" t="s">
        <v>342</v>
      </c>
      <c r="R44" s="7" t="n">
        <v>1</v>
      </c>
      <c r="S44" s="8" t="n">
        <v>605.05</v>
      </c>
      <c r="T44" s="8" t="n">
        <v>358.56</v>
      </c>
      <c r="U44" s="8" t="n">
        <v>605.05</v>
      </c>
      <c r="V44" s="7" t="s">
        <v>395</v>
      </c>
      <c r="W44" s="8" t="n">
        <f aca="false">IF(S44&lt;&gt;"",S44,IF(P44&lt;&gt;"",P44,""))</f>
        <v>605.05</v>
      </c>
      <c r="X44" s="7" t="str">
        <f aca="false">IF(S44&lt;&gt;"","median allowed",IF(P44&lt;&gt;"","negotiated",""))</f>
        <v>median allowed</v>
      </c>
      <c r="Y44" s="7" t="n">
        <v>1</v>
      </c>
      <c r="Z44" s="7"/>
      <c r="AA44" s="11" t="n">
        <f aca="false">P53</f>
        <v>369.81</v>
      </c>
      <c r="AB44" s="7" t="s">
        <v>356</v>
      </c>
      <c r="AC44" s="13" t="n">
        <f aca="false">IF(AND(Y44=1,P44&lt;&gt;"",AA44&gt;0),P44/AA44,"")</f>
        <v>1.7161785781888</v>
      </c>
      <c r="AD44" s="7" t="str">
        <f aca="false">IF(AC44="","",IF(OR(AC44&gt;20,AC44&lt;0.2),"REVIEW","ok"))</f>
        <v>ok</v>
      </c>
      <c r="AE44" s="11" t="n">
        <f aca="false">INDEX(Reference!$E$18:$E$22,MATCH(D44,Reference!$A$18:$A$22,0))</f>
        <v>220.6</v>
      </c>
      <c r="AF44" s="13" t="n">
        <f aca="false">IF(AND(Y44=1,P44&lt;&gt;"",AE44&gt;0),P44/AE44,"")</f>
        <v>2.87697189483228</v>
      </c>
      <c r="AG44" s="7"/>
      <c r="AH44" s="7" t="s">
        <v>396</v>
      </c>
    </row>
    <row r="45" customFormat="false" ht="15" hidden="false" customHeight="false" outlineLevel="0" collapsed="false">
      <c r="A45" s="7" t="n">
        <v>44</v>
      </c>
      <c r="B45" s="7" t="s">
        <v>79</v>
      </c>
      <c r="C45" s="7" t="s">
        <v>376</v>
      </c>
      <c r="D45" s="7" t="s">
        <v>60</v>
      </c>
      <c r="E45" s="7" t="s">
        <v>58</v>
      </c>
      <c r="F45" s="7" t="s">
        <v>59</v>
      </c>
      <c r="G45" s="7" t="s">
        <v>43</v>
      </c>
      <c r="H45" s="7" t="s">
        <v>138</v>
      </c>
      <c r="I45" s="7" t="s">
        <v>191</v>
      </c>
      <c r="J45" s="7"/>
      <c r="K45" s="7" t="s">
        <v>192</v>
      </c>
      <c r="L45" s="7" t="s">
        <v>341</v>
      </c>
      <c r="M45" s="8" t="n">
        <v>809</v>
      </c>
      <c r="N45" s="8" t="n">
        <v>630.29</v>
      </c>
      <c r="O45" s="7" t="n">
        <v>77.91</v>
      </c>
      <c r="P45" s="8" t="n">
        <v>630.29</v>
      </c>
      <c r="Q45" s="7" t="s">
        <v>342</v>
      </c>
      <c r="R45" s="7" t="n">
        <v>1</v>
      </c>
      <c r="S45" s="8" t="n">
        <v>787</v>
      </c>
      <c r="T45" s="8" t="n">
        <v>619.84</v>
      </c>
      <c r="U45" s="8" t="n">
        <v>1406.84</v>
      </c>
      <c r="V45" s="7" t="s">
        <v>87</v>
      </c>
      <c r="W45" s="8" t="n">
        <f aca="false">IF(S45&lt;&gt;"",S45,IF(P45&lt;&gt;"",P45,""))</f>
        <v>787</v>
      </c>
      <c r="X45" s="7" t="str">
        <f aca="false">IF(S45&lt;&gt;"","median allowed",IF(P45&lt;&gt;"","negotiated",""))</f>
        <v>median allowed</v>
      </c>
      <c r="Y45" s="7" t="n">
        <v>1</v>
      </c>
      <c r="Z45" s="7"/>
      <c r="AA45" s="11" t="n">
        <f aca="false">P53</f>
        <v>369.81</v>
      </c>
      <c r="AB45" s="7" t="s">
        <v>356</v>
      </c>
      <c r="AC45" s="13" t="n">
        <f aca="false">IF(AND(Y45=1,P45&lt;&gt;"",AA45&gt;0),P45/AA45,"")</f>
        <v>1.70436169925097</v>
      </c>
      <c r="AD45" s="7" t="str">
        <f aca="false">IF(AC45="","",IF(OR(AC45&gt;20,AC45&lt;0.2),"REVIEW","ok"))</f>
        <v>ok</v>
      </c>
      <c r="AE45" s="11" t="n">
        <f aca="false">INDEX(Reference!$E$18:$E$22,MATCH(D45,Reference!$A$18:$A$22,0))</f>
        <v>220.6</v>
      </c>
      <c r="AF45" s="13" t="n">
        <f aca="false">IF(AND(Y45=1,P45&lt;&gt;"",AE45&gt;0),P45/AE45,"")</f>
        <v>2.85716228467815</v>
      </c>
      <c r="AG45" s="7"/>
      <c r="AH45" s="7" t="s">
        <v>397</v>
      </c>
    </row>
    <row r="46" customFormat="false" ht="15" hidden="false" customHeight="false" outlineLevel="0" collapsed="false">
      <c r="A46" s="7" t="n">
        <v>45</v>
      </c>
      <c r="B46" s="7" t="s">
        <v>79</v>
      </c>
      <c r="C46" s="7" t="s">
        <v>376</v>
      </c>
      <c r="D46" s="7" t="s">
        <v>60</v>
      </c>
      <c r="E46" s="7" t="s">
        <v>66</v>
      </c>
      <c r="F46" s="7" t="s">
        <v>67</v>
      </c>
      <c r="G46" s="7" t="s">
        <v>68</v>
      </c>
      <c r="H46" s="7" t="s">
        <v>139</v>
      </c>
      <c r="I46" s="7" t="s">
        <v>191</v>
      </c>
      <c r="J46" s="7"/>
      <c r="K46" s="7" t="s">
        <v>194</v>
      </c>
      <c r="L46" s="7" t="s">
        <v>341</v>
      </c>
      <c r="M46" s="8" t="n">
        <v>809</v>
      </c>
      <c r="N46" s="8" t="n">
        <v>369.81</v>
      </c>
      <c r="O46" s="7"/>
      <c r="P46" s="8" t="n">
        <v>369.81</v>
      </c>
      <c r="Q46" s="7" t="s">
        <v>342</v>
      </c>
      <c r="R46" s="7" t="n">
        <v>0</v>
      </c>
      <c r="S46" s="8" t="n">
        <v>363.89</v>
      </c>
      <c r="T46" s="8" t="n">
        <v>154.13</v>
      </c>
      <c r="U46" s="8" t="n">
        <v>363.89</v>
      </c>
      <c r="V46" s="7" t="s">
        <v>44</v>
      </c>
      <c r="W46" s="8" t="n">
        <f aca="false">IF(S46&lt;&gt;"",S46,IF(P46&lt;&gt;"",P46,""))</f>
        <v>363.89</v>
      </c>
      <c r="X46" s="7" t="str">
        <f aca="false">IF(S46&lt;&gt;"","median allowed",IF(P46&lt;&gt;"","negotiated",""))</f>
        <v>median allowed</v>
      </c>
      <c r="Y46" s="7" t="n">
        <v>1</v>
      </c>
      <c r="Z46" s="7"/>
      <c r="AA46" s="11" t="n">
        <f aca="false">P53</f>
        <v>369.81</v>
      </c>
      <c r="AB46" s="7" t="s">
        <v>356</v>
      </c>
      <c r="AC46" s="13" t="n">
        <f aca="false">IF(AND(Y46=1,P46&lt;&gt;"",AA46&gt;0),P46/AA46,"")</f>
        <v>1</v>
      </c>
      <c r="AD46" s="7" t="str">
        <f aca="false">IF(AC46="","",IF(OR(AC46&gt;20,AC46&lt;0.2),"REVIEW","ok"))</f>
        <v>ok</v>
      </c>
      <c r="AE46" s="11" t="n">
        <f aca="false">INDEX(Reference!$E$18:$E$22,MATCH(D46,Reference!$A$18:$A$22,0))</f>
        <v>220.6</v>
      </c>
      <c r="AF46" s="13" t="n">
        <f aca="false">IF(AND(Y46=1,P46&lt;&gt;"",AE46&gt;0),P46/AE46,"")</f>
        <v>1.67638259292838</v>
      </c>
      <c r="AG46" s="7" t="s">
        <v>398</v>
      </c>
      <c r="AH46" s="7" t="s">
        <v>399</v>
      </c>
    </row>
    <row r="47" customFormat="false" ht="15" hidden="false" customHeight="false" outlineLevel="0" collapsed="false">
      <c r="A47" s="7" t="n">
        <v>46</v>
      </c>
      <c r="B47" s="7" t="s">
        <v>79</v>
      </c>
      <c r="C47" s="7" t="s">
        <v>376</v>
      </c>
      <c r="D47" s="7" t="s">
        <v>60</v>
      </c>
      <c r="E47" s="7" t="s">
        <v>84</v>
      </c>
      <c r="F47" s="7" t="s">
        <v>85</v>
      </c>
      <c r="G47" s="7" t="s">
        <v>68</v>
      </c>
      <c r="H47" s="7" t="s">
        <v>139</v>
      </c>
      <c r="I47" s="7" t="s">
        <v>191</v>
      </c>
      <c r="J47" s="7"/>
      <c r="K47" s="7" t="s">
        <v>194</v>
      </c>
      <c r="L47" s="7" t="s">
        <v>341</v>
      </c>
      <c r="M47" s="8" t="n">
        <v>809</v>
      </c>
      <c r="N47" s="8" t="n">
        <v>369.81</v>
      </c>
      <c r="O47" s="7"/>
      <c r="P47" s="8" t="n">
        <v>369.81</v>
      </c>
      <c r="Q47" s="7" t="s">
        <v>342</v>
      </c>
      <c r="R47" s="7" t="n">
        <v>0</v>
      </c>
      <c r="S47" s="8" t="n">
        <v>366.63</v>
      </c>
      <c r="T47" s="8" t="n">
        <v>366.63</v>
      </c>
      <c r="U47" s="8" t="n">
        <v>366.63</v>
      </c>
      <c r="V47" s="7" t="s">
        <v>44</v>
      </c>
      <c r="W47" s="8" t="n">
        <f aca="false">IF(S47&lt;&gt;"",S47,IF(P47&lt;&gt;"",P47,""))</f>
        <v>366.63</v>
      </c>
      <c r="X47" s="7" t="str">
        <f aca="false">IF(S47&lt;&gt;"","median allowed",IF(P47&lt;&gt;"","negotiated",""))</f>
        <v>median allowed</v>
      </c>
      <c r="Y47" s="7" t="n">
        <v>1</v>
      </c>
      <c r="Z47" s="7"/>
      <c r="AA47" s="11" t="n">
        <f aca="false">P53</f>
        <v>369.81</v>
      </c>
      <c r="AB47" s="7" t="s">
        <v>356</v>
      </c>
      <c r="AC47" s="13" t="n">
        <f aca="false">IF(AND(Y47=1,P47&lt;&gt;"",AA47&gt;0),P47/AA47,"")</f>
        <v>1</v>
      </c>
      <c r="AD47" s="7" t="str">
        <f aca="false">IF(AC47="","",IF(OR(AC47&gt;20,AC47&lt;0.2),"REVIEW","ok"))</f>
        <v>ok</v>
      </c>
      <c r="AE47" s="11" t="n">
        <f aca="false">INDEX(Reference!$E$18:$E$22,MATCH(D47,Reference!$A$18:$A$22,0))</f>
        <v>220.6</v>
      </c>
      <c r="AF47" s="13" t="n">
        <f aca="false">IF(AND(Y47=1,P47&lt;&gt;"",AE47&gt;0),P47/AE47,"")</f>
        <v>1.67638259292838</v>
      </c>
      <c r="AG47" s="7" t="s">
        <v>398</v>
      </c>
      <c r="AH47" s="7" t="s">
        <v>400</v>
      </c>
    </row>
    <row r="48" customFormat="false" ht="15" hidden="false" customHeight="false" outlineLevel="0" collapsed="false">
      <c r="A48" s="7" t="n">
        <v>47</v>
      </c>
      <c r="B48" s="7" t="s">
        <v>79</v>
      </c>
      <c r="C48" s="7" t="s">
        <v>376</v>
      </c>
      <c r="D48" s="7" t="s">
        <v>60</v>
      </c>
      <c r="E48" s="7" t="s">
        <v>63</v>
      </c>
      <c r="F48" s="7" t="s">
        <v>64</v>
      </c>
      <c r="G48" s="7" t="s">
        <v>68</v>
      </c>
      <c r="H48" s="7" t="s">
        <v>168</v>
      </c>
      <c r="I48" s="7" t="s">
        <v>191</v>
      </c>
      <c r="J48" s="7"/>
      <c r="K48" s="7" t="s">
        <v>194</v>
      </c>
      <c r="L48" s="7" t="s">
        <v>341</v>
      </c>
      <c r="M48" s="8" t="n">
        <v>809</v>
      </c>
      <c r="N48" s="8" t="n">
        <v>362.41</v>
      </c>
      <c r="O48" s="7"/>
      <c r="P48" s="8" t="n">
        <v>362.41</v>
      </c>
      <c r="Q48" s="7" t="s">
        <v>342</v>
      </c>
      <c r="R48" s="7" t="n">
        <v>0</v>
      </c>
      <c r="S48" s="8" t="n">
        <v>363.89</v>
      </c>
      <c r="T48" s="8" t="n">
        <v>363.89</v>
      </c>
      <c r="U48" s="8" t="n">
        <v>363.89</v>
      </c>
      <c r="V48" s="7" t="s">
        <v>44</v>
      </c>
      <c r="W48" s="8" t="n">
        <f aca="false">IF(S48&lt;&gt;"",S48,IF(P48&lt;&gt;"",P48,""))</f>
        <v>363.89</v>
      </c>
      <c r="X48" s="7" t="str">
        <f aca="false">IF(S48&lt;&gt;"","median allowed",IF(P48&lt;&gt;"","negotiated",""))</f>
        <v>median allowed</v>
      </c>
      <c r="Y48" s="7" t="n">
        <v>1</v>
      </c>
      <c r="Z48" s="7"/>
      <c r="AA48" s="11" t="n">
        <f aca="false">P53</f>
        <v>369.81</v>
      </c>
      <c r="AB48" s="7" t="s">
        <v>356</v>
      </c>
      <c r="AC48" s="13" t="n">
        <f aca="false">IF(AND(Y48=1,P48&lt;&gt;"",AA48&gt;0),P48/AA48,"")</f>
        <v>0.979989724453098</v>
      </c>
      <c r="AD48" s="7" t="str">
        <f aca="false">IF(AC48="","",IF(OR(AC48&gt;20,AC48&lt;0.2),"REVIEW","ok"))</f>
        <v>ok</v>
      </c>
      <c r="AE48" s="11" t="n">
        <f aca="false">INDEX(Reference!$E$18:$E$22,MATCH(D48,Reference!$A$18:$A$22,0))</f>
        <v>220.6</v>
      </c>
      <c r="AF48" s="13" t="n">
        <f aca="false">IF(AND(Y48=1,P48&lt;&gt;"",AE48&gt;0),P48/AE48,"")</f>
        <v>1.64283771532185</v>
      </c>
      <c r="AG48" s="7" t="s">
        <v>398</v>
      </c>
      <c r="AH48" s="7" t="s">
        <v>401</v>
      </c>
    </row>
    <row r="49" customFormat="false" ht="15" hidden="false" customHeight="false" outlineLevel="0" collapsed="false">
      <c r="A49" s="7" t="n">
        <v>48</v>
      </c>
      <c r="B49" s="7" t="s">
        <v>79</v>
      </c>
      <c r="C49" s="7" t="s">
        <v>376</v>
      </c>
      <c r="D49" s="7" t="s">
        <v>60</v>
      </c>
      <c r="E49" s="7" t="s">
        <v>69</v>
      </c>
      <c r="F49" s="7" t="s">
        <v>70</v>
      </c>
      <c r="G49" s="7" t="s">
        <v>68</v>
      </c>
      <c r="H49" s="7" t="s">
        <v>139</v>
      </c>
      <c r="I49" s="7" t="s">
        <v>191</v>
      </c>
      <c r="J49" s="7"/>
      <c r="K49" s="7" t="s">
        <v>194</v>
      </c>
      <c r="L49" s="7" t="s">
        <v>341</v>
      </c>
      <c r="M49" s="8" t="n">
        <v>809</v>
      </c>
      <c r="N49" s="8" t="n">
        <v>369.81</v>
      </c>
      <c r="O49" s="7"/>
      <c r="P49" s="8" t="n">
        <v>369.81</v>
      </c>
      <c r="Q49" s="7" t="s">
        <v>342</v>
      </c>
      <c r="R49" s="7" t="n">
        <v>0</v>
      </c>
      <c r="S49" s="8" t="n">
        <v>362.41</v>
      </c>
      <c r="T49" s="8" t="n">
        <v>362.41</v>
      </c>
      <c r="U49" s="8" t="n">
        <v>362.41</v>
      </c>
      <c r="V49" s="7" t="s">
        <v>44</v>
      </c>
      <c r="W49" s="8" t="n">
        <f aca="false">IF(S49&lt;&gt;"",S49,IF(P49&lt;&gt;"",P49,""))</f>
        <v>362.41</v>
      </c>
      <c r="X49" s="7" t="str">
        <f aca="false">IF(S49&lt;&gt;"","median allowed",IF(P49&lt;&gt;"","negotiated",""))</f>
        <v>median allowed</v>
      </c>
      <c r="Y49" s="7" t="n">
        <v>1</v>
      </c>
      <c r="Z49" s="7"/>
      <c r="AA49" s="11" t="n">
        <f aca="false">P53</f>
        <v>369.81</v>
      </c>
      <c r="AB49" s="7" t="s">
        <v>356</v>
      </c>
      <c r="AC49" s="13" t="n">
        <f aca="false">IF(AND(Y49=1,P49&lt;&gt;"",AA49&gt;0),P49/AA49,"")</f>
        <v>1</v>
      </c>
      <c r="AD49" s="7" t="str">
        <f aca="false">IF(AC49="","",IF(OR(AC49&gt;20,AC49&lt;0.2),"REVIEW","ok"))</f>
        <v>ok</v>
      </c>
      <c r="AE49" s="11" t="n">
        <f aca="false">INDEX(Reference!$E$18:$E$22,MATCH(D49,Reference!$A$18:$A$22,0))</f>
        <v>220.6</v>
      </c>
      <c r="AF49" s="13" t="n">
        <f aca="false">IF(AND(Y49=1,P49&lt;&gt;"",AE49&gt;0),P49/AE49,"")</f>
        <v>1.67638259292838</v>
      </c>
      <c r="AG49" s="7" t="s">
        <v>398</v>
      </c>
      <c r="AH49" s="7" t="s">
        <v>402</v>
      </c>
    </row>
    <row r="50" customFormat="false" ht="15" hidden="false" customHeight="false" outlineLevel="0" collapsed="false">
      <c r="A50" s="7" t="n">
        <v>49</v>
      </c>
      <c r="B50" s="7" t="s">
        <v>79</v>
      </c>
      <c r="C50" s="7" t="s">
        <v>376</v>
      </c>
      <c r="D50" s="7" t="s">
        <v>60</v>
      </c>
      <c r="E50" s="7" t="s">
        <v>88</v>
      </c>
      <c r="F50" s="7" t="s">
        <v>89</v>
      </c>
      <c r="G50" s="7" t="s">
        <v>68</v>
      </c>
      <c r="H50" s="7" t="s">
        <v>139</v>
      </c>
      <c r="I50" s="7" t="s">
        <v>191</v>
      </c>
      <c r="J50" s="7"/>
      <c r="K50" s="7" t="s">
        <v>194</v>
      </c>
      <c r="L50" s="7" t="s">
        <v>341</v>
      </c>
      <c r="M50" s="8" t="n">
        <v>809</v>
      </c>
      <c r="N50" s="8" t="n">
        <v>369.81</v>
      </c>
      <c r="O50" s="7"/>
      <c r="P50" s="8" t="n">
        <v>369.81</v>
      </c>
      <c r="Q50" s="7" t="s">
        <v>342</v>
      </c>
      <c r="R50" s="7" t="n">
        <v>0</v>
      </c>
      <c r="S50" s="8" t="n">
        <v>363.89</v>
      </c>
      <c r="T50" s="8" t="n">
        <v>363.89</v>
      </c>
      <c r="U50" s="8" t="n">
        <v>363.89</v>
      </c>
      <c r="V50" s="7" t="s">
        <v>44</v>
      </c>
      <c r="W50" s="8" t="n">
        <f aca="false">IF(S50&lt;&gt;"",S50,IF(P50&lt;&gt;"",P50,""))</f>
        <v>363.89</v>
      </c>
      <c r="X50" s="7" t="str">
        <f aca="false">IF(S50&lt;&gt;"","median allowed",IF(P50&lt;&gt;"","negotiated",""))</f>
        <v>median allowed</v>
      </c>
      <c r="Y50" s="7" t="n">
        <v>1</v>
      </c>
      <c r="Z50" s="7"/>
      <c r="AA50" s="11" t="n">
        <f aca="false">P53</f>
        <v>369.81</v>
      </c>
      <c r="AB50" s="7" t="s">
        <v>356</v>
      </c>
      <c r="AC50" s="13" t="n">
        <f aca="false">IF(AND(Y50=1,P50&lt;&gt;"",AA50&gt;0),P50/AA50,"")</f>
        <v>1</v>
      </c>
      <c r="AD50" s="7" t="str">
        <f aca="false">IF(AC50="","",IF(OR(AC50&gt;20,AC50&lt;0.2),"REVIEW","ok"))</f>
        <v>ok</v>
      </c>
      <c r="AE50" s="11" t="n">
        <f aca="false">INDEX(Reference!$E$18:$E$22,MATCH(D50,Reference!$A$18:$A$22,0))</f>
        <v>220.6</v>
      </c>
      <c r="AF50" s="13" t="n">
        <f aca="false">IF(AND(Y50=1,P50&lt;&gt;"",AE50&gt;0),P50/AE50,"")</f>
        <v>1.67638259292838</v>
      </c>
      <c r="AG50" s="7" t="s">
        <v>398</v>
      </c>
      <c r="AH50" s="7" t="s">
        <v>403</v>
      </c>
    </row>
    <row r="51" customFormat="false" ht="15" hidden="false" customHeight="false" outlineLevel="0" collapsed="false">
      <c r="A51" s="7" t="n">
        <v>50</v>
      </c>
      <c r="B51" s="7" t="s">
        <v>79</v>
      </c>
      <c r="C51" s="7" t="s">
        <v>376</v>
      </c>
      <c r="D51" s="7" t="s">
        <v>60</v>
      </c>
      <c r="E51" s="7" t="s">
        <v>71</v>
      </c>
      <c r="F51" s="7" t="s">
        <v>72</v>
      </c>
      <c r="G51" s="7" t="s">
        <v>68</v>
      </c>
      <c r="H51" s="7" t="s">
        <v>168</v>
      </c>
      <c r="I51" s="7" t="s">
        <v>191</v>
      </c>
      <c r="J51" s="7"/>
      <c r="K51" s="7" t="s">
        <v>194</v>
      </c>
      <c r="L51" s="7" t="s">
        <v>341</v>
      </c>
      <c r="M51" s="8" t="n">
        <v>809</v>
      </c>
      <c r="N51" s="8" t="n">
        <v>362.41</v>
      </c>
      <c r="O51" s="7"/>
      <c r="P51" s="8" t="n">
        <v>362.41</v>
      </c>
      <c r="Q51" s="7" t="s">
        <v>342</v>
      </c>
      <c r="R51" s="7" t="n">
        <v>0</v>
      </c>
      <c r="S51" s="8" t="n">
        <v>362.81</v>
      </c>
      <c r="T51" s="8" t="n">
        <v>362.61</v>
      </c>
      <c r="U51" s="8" t="n">
        <v>363.01</v>
      </c>
      <c r="V51" s="7" t="s">
        <v>44</v>
      </c>
      <c r="W51" s="8" t="n">
        <f aca="false">IF(S51&lt;&gt;"",S51,IF(P51&lt;&gt;"",P51,""))</f>
        <v>362.81</v>
      </c>
      <c r="X51" s="7" t="str">
        <f aca="false">IF(S51&lt;&gt;"","median allowed",IF(P51&lt;&gt;"","negotiated",""))</f>
        <v>median allowed</v>
      </c>
      <c r="Y51" s="7" t="n">
        <v>1</v>
      </c>
      <c r="Z51" s="7"/>
      <c r="AA51" s="11" t="n">
        <f aca="false">P53</f>
        <v>369.81</v>
      </c>
      <c r="AB51" s="7" t="s">
        <v>356</v>
      </c>
      <c r="AC51" s="13" t="n">
        <f aca="false">IF(AND(Y51=1,P51&lt;&gt;"",AA51&gt;0),P51/AA51,"")</f>
        <v>0.979989724453098</v>
      </c>
      <c r="AD51" s="7" t="str">
        <f aca="false">IF(AC51="","",IF(OR(AC51&gt;20,AC51&lt;0.2),"REVIEW","ok"))</f>
        <v>ok</v>
      </c>
      <c r="AE51" s="11" t="n">
        <f aca="false">INDEX(Reference!$E$18:$E$22,MATCH(D51,Reference!$A$18:$A$22,0))</f>
        <v>220.6</v>
      </c>
      <c r="AF51" s="13" t="n">
        <f aca="false">IF(AND(Y51=1,P51&lt;&gt;"",AE51&gt;0),P51/AE51,"")</f>
        <v>1.64283771532185</v>
      </c>
      <c r="AG51" s="7" t="s">
        <v>398</v>
      </c>
      <c r="AH51" s="7" t="s">
        <v>404</v>
      </c>
    </row>
    <row r="52" customFormat="false" ht="15" hidden="false" customHeight="false" outlineLevel="0" collapsed="false">
      <c r="A52" s="7" t="n">
        <v>51</v>
      </c>
      <c r="B52" s="7" t="s">
        <v>79</v>
      </c>
      <c r="C52" s="7" t="s">
        <v>376</v>
      </c>
      <c r="D52" s="7" t="s">
        <v>60</v>
      </c>
      <c r="E52" s="7" t="s">
        <v>41</v>
      </c>
      <c r="F52" s="7" t="s">
        <v>42</v>
      </c>
      <c r="G52" s="7" t="s">
        <v>68</v>
      </c>
      <c r="H52" s="7" t="s">
        <v>167</v>
      </c>
      <c r="I52" s="7" t="s">
        <v>191</v>
      </c>
      <c r="J52" s="7"/>
      <c r="K52" s="7" t="s">
        <v>194</v>
      </c>
      <c r="L52" s="7" t="s">
        <v>341</v>
      </c>
      <c r="M52" s="8" t="n">
        <v>809</v>
      </c>
      <c r="N52" s="8" t="n">
        <v>362.41</v>
      </c>
      <c r="O52" s="7"/>
      <c r="P52" s="8" t="n">
        <v>362.41</v>
      </c>
      <c r="Q52" s="7" t="s">
        <v>342</v>
      </c>
      <c r="R52" s="7" t="n">
        <v>0</v>
      </c>
      <c r="S52" s="8" t="n">
        <v>362.92</v>
      </c>
      <c r="T52" s="8" t="n">
        <v>337.09</v>
      </c>
      <c r="U52" s="8" t="n">
        <v>363.42</v>
      </c>
      <c r="V52" s="7" t="s">
        <v>87</v>
      </c>
      <c r="W52" s="8" t="n">
        <f aca="false">IF(S52&lt;&gt;"",S52,IF(P52&lt;&gt;"",P52,""))</f>
        <v>362.92</v>
      </c>
      <c r="X52" s="7" t="str">
        <f aca="false">IF(S52&lt;&gt;"","median allowed",IF(P52&lt;&gt;"","negotiated",""))</f>
        <v>median allowed</v>
      </c>
      <c r="Y52" s="7" t="n">
        <v>1</v>
      </c>
      <c r="Z52" s="7"/>
      <c r="AA52" s="11" t="n">
        <f aca="false">P53</f>
        <v>369.81</v>
      </c>
      <c r="AB52" s="7" t="s">
        <v>356</v>
      </c>
      <c r="AC52" s="13" t="n">
        <f aca="false">IF(AND(Y52=1,P52&lt;&gt;"",AA52&gt;0),P52/AA52,"")</f>
        <v>0.979989724453098</v>
      </c>
      <c r="AD52" s="7" t="str">
        <f aca="false">IF(AC52="","",IF(OR(AC52&gt;20,AC52&lt;0.2),"REVIEW","ok"))</f>
        <v>ok</v>
      </c>
      <c r="AE52" s="11" t="n">
        <f aca="false">INDEX(Reference!$E$18:$E$22,MATCH(D52,Reference!$A$18:$A$22,0))</f>
        <v>220.6</v>
      </c>
      <c r="AF52" s="13" t="n">
        <f aca="false">IF(AND(Y52=1,P52&lt;&gt;"",AE52&gt;0),P52/AE52,"")</f>
        <v>1.64283771532185</v>
      </c>
      <c r="AG52" s="7" t="s">
        <v>398</v>
      </c>
      <c r="AH52" s="7" t="s">
        <v>405</v>
      </c>
    </row>
    <row r="53" customFormat="false" ht="15" hidden="false" customHeight="false" outlineLevel="0" collapsed="false">
      <c r="A53" s="7" t="n">
        <v>52</v>
      </c>
      <c r="B53" s="7" t="s">
        <v>79</v>
      </c>
      <c r="C53" s="7" t="s">
        <v>376</v>
      </c>
      <c r="D53" s="7" t="s">
        <v>60</v>
      </c>
      <c r="E53" s="7" t="s">
        <v>73</v>
      </c>
      <c r="F53" s="7" t="s">
        <v>74</v>
      </c>
      <c r="G53" s="7" t="s">
        <v>75</v>
      </c>
      <c r="H53" s="7" t="s">
        <v>139</v>
      </c>
      <c r="I53" s="7" t="s">
        <v>191</v>
      </c>
      <c r="J53" s="7"/>
      <c r="K53" s="7" t="s">
        <v>194</v>
      </c>
      <c r="L53" s="7" t="s">
        <v>341</v>
      </c>
      <c r="M53" s="8" t="n">
        <v>809</v>
      </c>
      <c r="N53" s="8" t="n">
        <v>369.81</v>
      </c>
      <c r="O53" s="7"/>
      <c r="P53" s="8" t="n">
        <v>369.81</v>
      </c>
      <c r="Q53" s="7" t="s">
        <v>342</v>
      </c>
      <c r="R53" s="7" t="n">
        <v>0</v>
      </c>
      <c r="S53" s="8" t="n">
        <v>369.81</v>
      </c>
      <c r="T53" s="8" t="n">
        <v>342.57</v>
      </c>
      <c r="U53" s="8" t="n">
        <v>369.81</v>
      </c>
      <c r="V53" s="7" t="s">
        <v>90</v>
      </c>
      <c r="W53" s="8" t="n">
        <f aca="false">IF(S53&lt;&gt;"",S53,IF(P53&lt;&gt;"",P53,""))</f>
        <v>369.81</v>
      </c>
      <c r="X53" s="7" t="str">
        <f aca="false">IF(S53&lt;&gt;"","median allowed",IF(P53&lt;&gt;"","negotiated",""))</f>
        <v>median allowed</v>
      </c>
      <c r="Y53" s="7" t="n">
        <v>1</v>
      </c>
      <c r="Z53" s="7"/>
      <c r="AA53" s="11" t="n">
        <f aca="false">P53</f>
        <v>369.81</v>
      </c>
      <c r="AB53" s="7" t="s">
        <v>356</v>
      </c>
      <c r="AC53" s="13" t="n">
        <f aca="false">IF(AND(Y53=1,P53&lt;&gt;"",AA53&gt;0),P53/AA53,"")</f>
        <v>1</v>
      </c>
      <c r="AD53" s="7" t="str">
        <f aca="false">IF(AC53="","",IF(OR(AC53&gt;20,AC53&lt;0.2),"REVIEW","ok"))</f>
        <v>ok</v>
      </c>
      <c r="AE53" s="11" t="n">
        <f aca="false">INDEX(Reference!$E$18:$E$22,MATCH(D53,Reference!$A$18:$A$22,0))</f>
        <v>220.6</v>
      </c>
      <c r="AF53" s="13" t="n">
        <f aca="false">IF(AND(Y53=1,P53&lt;&gt;"",AE53&gt;0),P53/AE53,"")</f>
        <v>1.67638259292838</v>
      </c>
      <c r="AG53" s="7" t="s">
        <v>398</v>
      </c>
      <c r="AH53" s="7" t="s">
        <v>406</v>
      </c>
    </row>
    <row r="54" customFormat="false" ht="15" hidden="false" customHeight="false" outlineLevel="0" collapsed="false">
      <c r="A54" s="7" t="n">
        <v>53</v>
      </c>
      <c r="B54" s="7" t="s">
        <v>79</v>
      </c>
      <c r="C54" s="7" t="s">
        <v>376</v>
      </c>
      <c r="D54" s="7" t="s">
        <v>60</v>
      </c>
      <c r="E54" s="7" t="s">
        <v>77</v>
      </c>
      <c r="F54" s="7" t="s">
        <v>78</v>
      </c>
      <c r="G54" s="7" t="s">
        <v>78</v>
      </c>
      <c r="H54" s="7" t="s">
        <v>169</v>
      </c>
      <c r="I54" s="7" t="s">
        <v>191</v>
      </c>
      <c r="J54" s="7"/>
      <c r="K54" s="7" t="s">
        <v>194</v>
      </c>
      <c r="L54" s="7" t="s">
        <v>341</v>
      </c>
      <c r="M54" s="8" t="n">
        <v>809</v>
      </c>
      <c r="N54" s="8" t="n">
        <v>351.32</v>
      </c>
      <c r="O54" s="7"/>
      <c r="P54" s="8" t="n">
        <v>351.32</v>
      </c>
      <c r="Q54" s="7" t="s">
        <v>342</v>
      </c>
      <c r="R54" s="7" t="n">
        <v>0</v>
      </c>
      <c r="S54" s="8" t="n">
        <v>351.32</v>
      </c>
      <c r="T54" s="8" t="n">
        <v>351.32</v>
      </c>
      <c r="U54" s="8" t="n">
        <v>351.32</v>
      </c>
      <c r="V54" s="7" t="s">
        <v>44</v>
      </c>
      <c r="W54" s="8" t="n">
        <f aca="false">IF(S54&lt;&gt;"",S54,IF(P54&lt;&gt;"",P54,""))</f>
        <v>351.32</v>
      </c>
      <c r="X54" s="7" t="str">
        <f aca="false">IF(S54&lt;&gt;"","median allowed",IF(P54&lt;&gt;"","negotiated",""))</f>
        <v>median allowed</v>
      </c>
      <c r="Y54" s="7" t="n">
        <v>1</v>
      </c>
      <c r="Z54" s="7"/>
      <c r="AA54" s="11" t="n">
        <f aca="false">P53</f>
        <v>369.81</v>
      </c>
      <c r="AB54" s="7" t="s">
        <v>356</v>
      </c>
      <c r="AC54" s="13" t="n">
        <f aca="false">IF(AND(Y54=1,P54&lt;&gt;"",AA54&gt;0),P54/AA54,"")</f>
        <v>0.950001352045645</v>
      </c>
      <c r="AD54" s="7" t="str">
        <f aca="false">IF(AC54="","",IF(OR(AC54&gt;20,AC54&lt;0.2),"REVIEW","ok"))</f>
        <v>ok</v>
      </c>
      <c r="AE54" s="11" t="n">
        <f aca="false">INDEX(Reference!$E$18:$E$22,MATCH(D54,Reference!$A$18:$A$22,0))</f>
        <v>220.6</v>
      </c>
      <c r="AF54" s="13" t="n">
        <f aca="false">IF(AND(Y54=1,P54&lt;&gt;"",AE54&gt;0),P54/AE54,"")</f>
        <v>1.59256572982774</v>
      </c>
      <c r="AG54" s="7" t="s">
        <v>374</v>
      </c>
      <c r="AH54" s="7" t="s">
        <v>407</v>
      </c>
    </row>
    <row r="55" customFormat="false" ht="15" hidden="false" customHeight="false" outlineLevel="0" collapsed="false">
      <c r="A55" s="7" t="n">
        <v>54</v>
      </c>
      <c r="B55" s="7" t="s">
        <v>91</v>
      </c>
      <c r="C55" s="7" t="s">
        <v>408</v>
      </c>
      <c r="D55" s="7" t="s">
        <v>92</v>
      </c>
      <c r="E55" s="7"/>
      <c r="F55" s="7"/>
      <c r="G55" s="7"/>
      <c r="H55" s="7"/>
      <c r="I55" s="7" t="s">
        <v>191</v>
      </c>
      <c r="J55" s="7" t="s">
        <v>409</v>
      </c>
      <c r="K55" s="7"/>
      <c r="L55" s="7" t="s">
        <v>410</v>
      </c>
      <c r="M55" s="8" t="n">
        <v>2310</v>
      </c>
      <c r="N55" s="8"/>
      <c r="O55" s="7"/>
      <c r="P55" s="8"/>
      <c r="Q55" s="7"/>
      <c r="R55" s="7" t="n">
        <v>0</v>
      </c>
      <c r="S55" s="8"/>
      <c r="T55" s="8"/>
      <c r="U55" s="8"/>
      <c r="V55" s="7"/>
      <c r="W55" s="8" t="str">
        <f aca="false">IF(S55&lt;&gt;"",S55,IF(P55&lt;&gt;"",P55,""))</f>
        <v/>
      </c>
      <c r="X55" s="7" t="str">
        <f aca="false">IF(S55&lt;&gt;"","median allowed",IF(P55&lt;&gt;"","negotiated",""))</f>
        <v/>
      </c>
      <c r="Y55" s="7" t="n">
        <v>0</v>
      </c>
      <c r="Z55" s="7" t="s">
        <v>260</v>
      </c>
      <c r="AA55" s="11" t="n">
        <f aca="false">Reference!$E$22</f>
        <v>381.24</v>
      </c>
      <c r="AB55" s="7" t="s">
        <v>343</v>
      </c>
      <c r="AC55" s="13" t="str">
        <f aca="false">IF(AND(Y55=1,P55&lt;&gt;"",AA55&gt;0),P55/AA55,"")</f>
        <v/>
      </c>
      <c r="AD55" s="7" t="str">
        <f aca="false">IF(AC55="","",IF(OR(AC55&gt;20,AC55&lt;0.2),"REVIEW","ok"))</f>
        <v/>
      </c>
      <c r="AE55" s="11" t="n">
        <f aca="false">INDEX(Reference!$E$18:$E$22,MATCH(D55,Reference!$A$18:$A$22,0))</f>
        <v>381.24</v>
      </c>
      <c r="AF55" s="13" t="str">
        <f aca="false">IF(AND(Y55=1,P55&lt;&gt;"",AE55&gt;0),P55/AE55,"")</f>
        <v/>
      </c>
      <c r="AG55" s="7"/>
      <c r="AH55" s="7" t="s">
        <v>411</v>
      </c>
    </row>
    <row r="56" customFormat="false" ht="15" hidden="false" customHeight="false" outlineLevel="0" collapsed="false">
      <c r="A56" s="7" t="n">
        <v>55</v>
      </c>
      <c r="B56" s="7" t="s">
        <v>91</v>
      </c>
      <c r="C56" s="7" t="s">
        <v>408</v>
      </c>
      <c r="D56" s="7" t="s">
        <v>92</v>
      </c>
      <c r="E56" s="7" t="s">
        <v>93</v>
      </c>
      <c r="F56" s="7" t="s">
        <v>67</v>
      </c>
      <c r="G56" s="7" t="s">
        <v>43</v>
      </c>
      <c r="H56" s="7" t="s">
        <v>141</v>
      </c>
      <c r="I56" s="7" t="s">
        <v>188</v>
      </c>
      <c r="J56" s="7" t="s">
        <v>409</v>
      </c>
      <c r="K56" s="7" t="s">
        <v>189</v>
      </c>
      <c r="L56" s="7" t="s">
        <v>341</v>
      </c>
      <c r="M56" s="8"/>
      <c r="N56" s="8" t="n">
        <v>1091.24</v>
      </c>
      <c r="O56" s="7"/>
      <c r="P56" s="8" t="n">
        <v>1091.24</v>
      </c>
      <c r="Q56" s="7" t="s">
        <v>342</v>
      </c>
      <c r="R56" s="7" t="n">
        <v>0</v>
      </c>
      <c r="S56" s="8"/>
      <c r="T56" s="8"/>
      <c r="U56" s="8"/>
      <c r="V56" s="7"/>
      <c r="W56" s="8" t="n">
        <f aca="false">IF(S56&lt;&gt;"",S56,IF(P56&lt;&gt;"",P56,""))</f>
        <v>1091.24</v>
      </c>
      <c r="X56" s="7" t="str">
        <f aca="false">IF(S56&lt;&gt;"","median allowed",IF(P56&lt;&gt;"","negotiated",""))</f>
        <v>negotiated</v>
      </c>
      <c r="Y56" s="7" t="n">
        <v>1</v>
      </c>
      <c r="Z56" s="7"/>
      <c r="AA56" s="11" t="n">
        <f aca="false">Reference!$E$22</f>
        <v>381.24</v>
      </c>
      <c r="AB56" s="7" t="s">
        <v>343</v>
      </c>
      <c r="AC56" s="13" t="n">
        <f aca="false">IF(AND(Y56=1,P56&lt;&gt;"",AA56&gt;0),P56/AA56,"")</f>
        <v>2.8623439303326</v>
      </c>
      <c r="AD56" s="7" t="str">
        <f aca="false">IF(AC56="","",IF(OR(AC56&gt;20,AC56&lt;0.2),"REVIEW","ok"))</f>
        <v>ok</v>
      </c>
      <c r="AE56" s="11" t="n">
        <f aca="false">INDEX(Reference!$E$18:$E$22,MATCH(D56,Reference!$A$18:$A$22,0))</f>
        <v>381.24</v>
      </c>
      <c r="AF56" s="13" t="n">
        <f aca="false">IF(AND(Y56=1,P56&lt;&gt;"",AE56&gt;0),P56/AE56,"")</f>
        <v>2.8623439303326</v>
      </c>
      <c r="AG56" s="7"/>
      <c r="AH56" s="7" t="s">
        <v>412</v>
      </c>
    </row>
    <row r="57" customFormat="false" ht="15" hidden="false" customHeight="false" outlineLevel="0" collapsed="false">
      <c r="A57" s="7" t="n">
        <v>56</v>
      </c>
      <c r="B57" s="7" t="s">
        <v>91</v>
      </c>
      <c r="C57" s="7" t="s">
        <v>408</v>
      </c>
      <c r="D57" s="7" t="s">
        <v>92</v>
      </c>
      <c r="E57" s="7" t="s">
        <v>93</v>
      </c>
      <c r="F57" s="7" t="s">
        <v>67</v>
      </c>
      <c r="G57" s="7" t="s">
        <v>43</v>
      </c>
      <c r="H57" s="7" t="s">
        <v>142</v>
      </c>
      <c r="I57" s="7" t="s">
        <v>188</v>
      </c>
      <c r="J57" s="7" t="s">
        <v>409</v>
      </c>
      <c r="K57" s="7" t="s">
        <v>189</v>
      </c>
      <c r="L57" s="7" t="s">
        <v>341</v>
      </c>
      <c r="M57" s="8"/>
      <c r="N57" s="8" t="n">
        <v>1141.22</v>
      </c>
      <c r="O57" s="7"/>
      <c r="P57" s="8" t="n">
        <v>1141.22</v>
      </c>
      <c r="Q57" s="7" t="s">
        <v>342</v>
      </c>
      <c r="R57" s="7" t="n">
        <v>0</v>
      </c>
      <c r="S57" s="8"/>
      <c r="T57" s="8"/>
      <c r="U57" s="8"/>
      <c r="V57" s="7"/>
      <c r="W57" s="8" t="n">
        <f aca="false">IF(S57&lt;&gt;"",S57,IF(P57&lt;&gt;"",P57,""))</f>
        <v>1141.22</v>
      </c>
      <c r="X57" s="7" t="str">
        <f aca="false">IF(S57&lt;&gt;"","median allowed",IF(P57&lt;&gt;"","negotiated",""))</f>
        <v>negotiated</v>
      </c>
      <c r="Y57" s="7" t="n">
        <v>1</v>
      </c>
      <c r="Z57" s="7"/>
      <c r="AA57" s="11" t="n">
        <f aca="false">Reference!$E$22</f>
        <v>381.24</v>
      </c>
      <c r="AB57" s="7" t="s">
        <v>343</v>
      </c>
      <c r="AC57" s="13" t="n">
        <f aca="false">IF(AND(Y57=1,P57&lt;&gt;"",AA57&gt;0),P57/AA57,"")</f>
        <v>2.99344245094953</v>
      </c>
      <c r="AD57" s="7" t="str">
        <f aca="false">IF(AC57="","",IF(OR(AC57&gt;20,AC57&lt;0.2),"REVIEW","ok"))</f>
        <v>ok</v>
      </c>
      <c r="AE57" s="11" t="n">
        <f aca="false">INDEX(Reference!$E$18:$E$22,MATCH(D57,Reference!$A$18:$A$22,0))</f>
        <v>381.24</v>
      </c>
      <c r="AF57" s="13" t="n">
        <f aca="false">IF(AND(Y57=1,P57&lt;&gt;"",AE57&gt;0),P57/AE57,"")</f>
        <v>2.99344245094953</v>
      </c>
      <c r="AG57" s="7"/>
      <c r="AH57" s="7" t="s">
        <v>413</v>
      </c>
    </row>
    <row r="58" customFormat="false" ht="15" hidden="false" customHeight="false" outlineLevel="0" collapsed="false">
      <c r="A58" s="7" t="n">
        <v>57</v>
      </c>
      <c r="B58" s="7" t="s">
        <v>91</v>
      </c>
      <c r="C58" s="7" t="s">
        <v>408</v>
      </c>
      <c r="D58" s="7" t="s">
        <v>92</v>
      </c>
      <c r="E58" s="7" t="s">
        <v>94</v>
      </c>
      <c r="F58" s="7" t="s">
        <v>95</v>
      </c>
      <c r="G58" s="7" t="s">
        <v>43</v>
      </c>
      <c r="H58" s="7" t="s">
        <v>143</v>
      </c>
      <c r="I58" s="7" t="s">
        <v>188</v>
      </c>
      <c r="J58" s="7" t="s">
        <v>409</v>
      </c>
      <c r="K58" s="7" t="s">
        <v>189</v>
      </c>
      <c r="L58" s="7" t="s">
        <v>341</v>
      </c>
      <c r="M58" s="8"/>
      <c r="N58" s="8" t="n">
        <v>1329.39</v>
      </c>
      <c r="O58" s="7"/>
      <c r="P58" s="8" t="n">
        <v>1329.39</v>
      </c>
      <c r="Q58" s="7" t="s">
        <v>342</v>
      </c>
      <c r="R58" s="7" t="n">
        <v>0</v>
      </c>
      <c r="S58" s="8"/>
      <c r="T58" s="8"/>
      <c r="U58" s="8"/>
      <c r="V58" s="7"/>
      <c r="W58" s="8" t="n">
        <f aca="false">IF(S58&lt;&gt;"",S58,IF(P58&lt;&gt;"",P58,""))</f>
        <v>1329.39</v>
      </c>
      <c r="X58" s="7" t="str">
        <f aca="false">IF(S58&lt;&gt;"","median allowed",IF(P58&lt;&gt;"","negotiated",""))</f>
        <v>negotiated</v>
      </c>
      <c r="Y58" s="7" t="n">
        <v>1</v>
      </c>
      <c r="Z58" s="7"/>
      <c r="AA58" s="11" t="n">
        <f aca="false">Reference!$E$22</f>
        <v>381.24</v>
      </c>
      <c r="AB58" s="7" t="s">
        <v>343</v>
      </c>
      <c r="AC58" s="13" t="n">
        <f aca="false">IF(AND(Y58=1,P58&lt;&gt;"",AA58&gt;0),P58/AA58,"")</f>
        <v>3.48701605288008</v>
      </c>
      <c r="AD58" s="7" t="str">
        <f aca="false">IF(AC58="","",IF(OR(AC58&gt;20,AC58&lt;0.2),"REVIEW","ok"))</f>
        <v>ok</v>
      </c>
      <c r="AE58" s="11" t="n">
        <f aca="false">INDEX(Reference!$E$18:$E$22,MATCH(D58,Reference!$A$18:$A$22,0))</f>
        <v>381.24</v>
      </c>
      <c r="AF58" s="13" t="n">
        <f aca="false">IF(AND(Y58=1,P58&lt;&gt;"",AE58&gt;0),P58/AE58,"")</f>
        <v>3.48701605288008</v>
      </c>
      <c r="AG58" s="7"/>
      <c r="AH58" s="7" t="s">
        <v>414</v>
      </c>
    </row>
    <row r="59" customFormat="false" ht="15" hidden="false" customHeight="false" outlineLevel="0" collapsed="false">
      <c r="A59" s="7" t="n">
        <v>58</v>
      </c>
      <c r="B59" s="7" t="s">
        <v>91</v>
      </c>
      <c r="C59" s="7" t="s">
        <v>408</v>
      </c>
      <c r="D59" s="7" t="s">
        <v>92</v>
      </c>
      <c r="E59" s="7" t="s">
        <v>96</v>
      </c>
      <c r="F59" s="7" t="s">
        <v>97</v>
      </c>
      <c r="G59" s="7" t="s">
        <v>43</v>
      </c>
      <c r="H59" s="7" t="s">
        <v>170</v>
      </c>
      <c r="I59" s="7" t="s">
        <v>188</v>
      </c>
      <c r="J59" s="7" t="s">
        <v>409</v>
      </c>
      <c r="K59" s="7" t="s">
        <v>189</v>
      </c>
      <c r="L59" s="7" t="s">
        <v>341</v>
      </c>
      <c r="M59" s="8"/>
      <c r="N59" s="8" t="n">
        <v>502.78</v>
      </c>
      <c r="O59" s="7"/>
      <c r="P59" s="8" t="n">
        <v>502.78</v>
      </c>
      <c r="Q59" s="7" t="s">
        <v>342</v>
      </c>
      <c r="R59" s="7" t="n">
        <v>0</v>
      </c>
      <c r="S59" s="8"/>
      <c r="T59" s="8"/>
      <c r="U59" s="8"/>
      <c r="V59" s="7"/>
      <c r="W59" s="8" t="n">
        <f aca="false">IF(S59&lt;&gt;"",S59,IF(P59&lt;&gt;"",P59,""))</f>
        <v>502.78</v>
      </c>
      <c r="X59" s="7" t="str">
        <f aca="false">IF(S59&lt;&gt;"","median allowed",IF(P59&lt;&gt;"","negotiated",""))</f>
        <v>negotiated</v>
      </c>
      <c r="Y59" s="7" t="n">
        <v>1</v>
      </c>
      <c r="Z59" s="7"/>
      <c r="AA59" s="11" t="n">
        <f aca="false">Reference!$E$22</f>
        <v>381.24</v>
      </c>
      <c r="AB59" s="7" t="s">
        <v>343</v>
      </c>
      <c r="AC59" s="13" t="n">
        <f aca="false">IF(AND(Y59=1,P59&lt;&gt;"",AA59&gt;0),P59/AA59,"")</f>
        <v>1.3188018046375</v>
      </c>
      <c r="AD59" s="7" t="str">
        <f aca="false">IF(AC59="","",IF(OR(AC59&gt;20,AC59&lt;0.2),"REVIEW","ok"))</f>
        <v>ok</v>
      </c>
      <c r="AE59" s="11" t="n">
        <f aca="false">INDEX(Reference!$E$18:$E$22,MATCH(D59,Reference!$A$18:$A$22,0))</f>
        <v>381.24</v>
      </c>
      <c r="AF59" s="13" t="n">
        <f aca="false">IF(AND(Y59=1,P59&lt;&gt;"",AE59&gt;0),P59/AE59,"")</f>
        <v>1.3188018046375</v>
      </c>
      <c r="AG59" s="7"/>
      <c r="AH59" s="7" t="s">
        <v>415</v>
      </c>
    </row>
    <row r="60" customFormat="false" ht="15" hidden="false" customHeight="false" outlineLevel="0" collapsed="false">
      <c r="A60" s="7" t="n">
        <v>59</v>
      </c>
      <c r="B60" s="7" t="s">
        <v>91</v>
      </c>
      <c r="C60" s="7" t="s">
        <v>408</v>
      </c>
      <c r="D60" s="7" t="s">
        <v>40</v>
      </c>
      <c r="E60" s="7"/>
      <c r="F60" s="7"/>
      <c r="G60" s="7"/>
      <c r="H60" s="7"/>
      <c r="I60" s="7" t="s">
        <v>191</v>
      </c>
      <c r="J60" s="7" t="s">
        <v>409</v>
      </c>
      <c r="K60" s="7"/>
      <c r="L60" s="7" t="s">
        <v>410</v>
      </c>
      <c r="M60" s="8" t="n">
        <v>2207</v>
      </c>
      <c r="N60" s="8"/>
      <c r="O60" s="7"/>
      <c r="P60" s="8"/>
      <c r="Q60" s="7"/>
      <c r="R60" s="7" t="n">
        <v>0</v>
      </c>
      <c r="S60" s="8"/>
      <c r="T60" s="8"/>
      <c r="U60" s="8"/>
      <c r="V60" s="7"/>
      <c r="W60" s="8" t="str">
        <f aca="false">IF(S60&lt;&gt;"",S60,IF(P60&lt;&gt;"",P60,""))</f>
        <v/>
      </c>
      <c r="X60" s="7" t="str">
        <f aca="false">IF(S60&lt;&gt;"","median allowed",IF(P60&lt;&gt;"","negotiated",""))</f>
        <v/>
      </c>
      <c r="Y60" s="7" t="n">
        <v>0</v>
      </c>
      <c r="Z60" s="7" t="s">
        <v>260</v>
      </c>
      <c r="AA60" s="11" t="n">
        <f aca="false">Reference!$E$18</f>
        <v>131.46</v>
      </c>
      <c r="AB60" s="7" t="s">
        <v>343</v>
      </c>
      <c r="AC60" s="13" t="str">
        <f aca="false">IF(AND(Y60=1,P60&lt;&gt;"",AA60&gt;0),P60/AA60,"")</f>
        <v/>
      </c>
      <c r="AD60" s="7" t="str">
        <f aca="false">IF(AC60="","",IF(OR(AC60&gt;20,AC60&lt;0.2),"REVIEW","ok"))</f>
        <v/>
      </c>
      <c r="AE60" s="11" t="n">
        <f aca="false">INDEX(Reference!$E$18:$E$22,MATCH(D60,Reference!$A$18:$A$22,0))</f>
        <v>131.46</v>
      </c>
      <c r="AF60" s="13" t="str">
        <f aca="false">IF(AND(Y60=1,P60&lt;&gt;"",AE60&gt;0),P60/AE60,"")</f>
        <v/>
      </c>
      <c r="AG60" s="7"/>
      <c r="AH60" s="7" t="s">
        <v>416</v>
      </c>
    </row>
    <row r="61" customFormat="false" ht="15" hidden="false" customHeight="false" outlineLevel="0" collapsed="false">
      <c r="A61" s="7" t="n">
        <v>60</v>
      </c>
      <c r="B61" s="7" t="s">
        <v>91</v>
      </c>
      <c r="C61" s="7" t="s">
        <v>408</v>
      </c>
      <c r="D61" s="7" t="s">
        <v>40</v>
      </c>
      <c r="E61" s="7" t="s">
        <v>93</v>
      </c>
      <c r="F61" s="7" t="s">
        <v>67</v>
      </c>
      <c r="G61" s="7" t="s">
        <v>43</v>
      </c>
      <c r="H61" s="7" t="s">
        <v>141</v>
      </c>
      <c r="I61" s="7" t="s">
        <v>188</v>
      </c>
      <c r="J61" s="7" t="s">
        <v>409</v>
      </c>
      <c r="K61" s="7" t="s">
        <v>189</v>
      </c>
      <c r="L61" s="7" t="s">
        <v>341</v>
      </c>
      <c r="M61" s="8"/>
      <c r="N61" s="8" t="n">
        <v>325.87</v>
      </c>
      <c r="O61" s="7"/>
      <c r="P61" s="8" t="n">
        <v>325.87</v>
      </c>
      <c r="Q61" s="7" t="s">
        <v>342</v>
      </c>
      <c r="R61" s="7" t="n">
        <v>0</v>
      </c>
      <c r="S61" s="8"/>
      <c r="T61" s="8"/>
      <c r="U61" s="8"/>
      <c r="V61" s="7"/>
      <c r="W61" s="8" t="n">
        <f aca="false">IF(S61&lt;&gt;"",S61,IF(P61&lt;&gt;"",P61,""))</f>
        <v>325.87</v>
      </c>
      <c r="X61" s="7" t="str">
        <f aca="false">IF(S61&lt;&gt;"","median allowed",IF(P61&lt;&gt;"","negotiated",""))</f>
        <v>negotiated</v>
      </c>
      <c r="Y61" s="7" t="n">
        <v>1</v>
      </c>
      <c r="Z61" s="7"/>
      <c r="AA61" s="11" t="n">
        <f aca="false">Reference!$E$18</f>
        <v>131.46</v>
      </c>
      <c r="AB61" s="7" t="s">
        <v>343</v>
      </c>
      <c r="AC61" s="13" t="n">
        <f aca="false">IF(AND(Y61=1,P61&lt;&gt;"",AA61&gt;0),P61/AA61,"")</f>
        <v>2.47885288300624</v>
      </c>
      <c r="AD61" s="7" t="str">
        <f aca="false">IF(AC61="","",IF(OR(AC61&gt;20,AC61&lt;0.2),"REVIEW","ok"))</f>
        <v>ok</v>
      </c>
      <c r="AE61" s="11" t="n">
        <f aca="false">INDEX(Reference!$E$18:$E$22,MATCH(D61,Reference!$A$18:$A$22,0))</f>
        <v>131.46</v>
      </c>
      <c r="AF61" s="13" t="n">
        <f aca="false">IF(AND(Y61=1,P61&lt;&gt;"",AE61&gt;0),P61/AE61,"")</f>
        <v>2.47885288300624</v>
      </c>
      <c r="AG61" s="7"/>
      <c r="AH61" s="7" t="s">
        <v>417</v>
      </c>
    </row>
    <row r="62" customFormat="false" ht="15" hidden="false" customHeight="false" outlineLevel="0" collapsed="false">
      <c r="A62" s="7" t="n">
        <v>61</v>
      </c>
      <c r="B62" s="7" t="s">
        <v>91</v>
      </c>
      <c r="C62" s="7" t="s">
        <v>408</v>
      </c>
      <c r="D62" s="7" t="s">
        <v>40</v>
      </c>
      <c r="E62" s="7" t="s">
        <v>93</v>
      </c>
      <c r="F62" s="7" t="s">
        <v>67</v>
      </c>
      <c r="G62" s="7" t="s">
        <v>43</v>
      </c>
      <c r="H62" s="7" t="s">
        <v>142</v>
      </c>
      <c r="I62" s="7" t="s">
        <v>188</v>
      </c>
      <c r="J62" s="7" t="s">
        <v>409</v>
      </c>
      <c r="K62" s="7" t="s">
        <v>189</v>
      </c>
      <c r="L62" s="7" t="s">
        <v>341</v>
      </c>
      <c r="M62" s="8"/>
      <c r="N62" s="8" t="n">
        <v>340.79</v>
      </c>
      <c r="O62" s="7"/>
      <c r="P62" s="8" t="n">
        <v>340.79</v>
      </c>
      <c r="Q62" s="7" t="s">
        <v>342</v>
      </c>
      <c r="R62" s="7" t="n">
        <v>0</v>
      </c>
      <c r="S62" s="8"/>
      <c r="T62" s="8"/>
      <c r="U62" s="8"/>
      <c r="V62" s="7"/>
      <c r="W62" s="8" t="n">
        <f aca="false">IF(S62&lt;&gt;"",S62,IF(P62&lt;&gt;"",P62,""))</f>
        <v>340.79</v>
      </c>
      <c r="X62" s="7" t="str">
        <f aca="false">IF(S62&lt;&gt;"","median allowed",IF(P62&lt;&gt;"","negotiated",""))</f>
        <v>negotiated</v>
      </c>
      <c r="Y62" s="7" t="n">
        <v>1</v>
      </c>
      <c r="Z62" s="7"/>
      <c r="AA62" s="11" t="n">
        <f aca="false">Reference!$E$18</f>
        <v>131.46</v>
      </c>
      <c r="AB62" s="7" t="s">
        <v>343</v>
      </c>
      <c r="AC62" s="13" t="n">
        <f aca="false">IF(AND(Y62=1,P62&lt;&gt;"",AA62&gt;0),P62/AA62,"")</f>
        <v>2.59234748212384</v>
      </c>
      <c r="AD62" s="7" t="str">
        <f aca="false">IF(AC62="","",IF(OR(AC62&gt;20,AC62&lt;0.2),"REVIEW","ok"))</f>
        <v>ok</v>
      </c>
      <c r="AE62" s="11" t="n">
        <f aca="false">INDEX(Reference!$E$18:$E$22,MATCH(D62,Reference!$A$18:$A$22,0))</f>
        <v>131.46</v>
      </c>
      <c r="AF62" s="13" t="n">
        <f aca="false">IF(AND(Y62=1,P62&lt;&gt;"",AE62&gt;0),P62/AE62,"")</f>
        <v>2.59234748212384</v>
      </c>
      <c r="AG62" s="7"/>
      <c r="AH62" s="7" t="s">
        <v>418</v>
      </c>
    </row>
    <row r="63" customFormat="false" ht="15" hidden="false" customHeight="false" outlineLevel="0" collapsed="false">
      <c r="A63" s="7" t="n">
        <v>62</v>
      </c>
      <c r="B63" s="7" t="s">
        <v>91</v>
      </c>
      <c r="C63" s="7" t="s">
        <v>408</v>
      </c>
      <c r="D63" s="7" t="s">
        <v>40</v>
      </c>
      <c r="E63" s="7" t="s">
        <v>94</v>
      </c>
      <c r="F63" s="7" t="s">
        <v>95</v>
      </c>
      <c r="G63" s="7" t="s">
        <v>43</v>
      </c>
      <c r="H63" s="7" t="s">
        <v>143</v>
      </c>
      <c r="I63" s="7" t="s">
        <v>188</v>
      </c>
      <c r="J63" s="7" t="s">
        <v>409</v>
      </c>
      <c r="K63" s="7" t="s">
        <v>189</v>
      </c>
      <c r="L63" s="7" t="s">
        <v>341</v>
      </c>
      <c r="M63" s="8"/>
      <c r="N63" s="8" t="n">
        <v>396.97</v>
      </c>
      <c r="O63" s="7"/>
      <c r="P63" s="8" t="n">
        <v>396.97</v>
      </c>
      <c r="Q63" s="7" t="s">
        <v>342</v>
      </c>
      <c r="R63" s="7" t="n">
        <v>0</v>
      </c>
      <c r="S63" s="8"/>
      <c r="T63" s="8"/>
      <c r="U63" s="8"/>
      <c r="V63" s="7"/>
      <c r="W63" s="8" t="n">
        <f aca="false">IF(S63&lt;&gt;"",S63,IF(P63&lt;&gt;"",P63,""))</f>
        <v>396.97</v>
      </c>
      <c r="X63" s="7" t="str">
        <f aca="false">IF(S63&lt;&gt;"","median allowed",IF(P63&lt;&gt;"","negotiated",""))</f>
        <v>negotiated</v>
      </c>
      <c r="Y63" s="7" t="n">
        <v>1</v>
      </c>
      <c r="Z63" s="7"/>
      <c r="AA63" s="11" t="n">
        <f aca="false">Reference!$E$18</f>
        <v>131.46</v>
      </c>
      <c r="AB63" s="7" t="s">
        <v>343</v>
      </c>
      <c r="AC63" s="13" t="n">
        <f aca="false">IF(AND(Y63=1,P63&lt;&gt;"",AA63&gt;0),P63/AA63,"")</f>
        <v>3.01970181043663</v>
      </c>
      <c r="AD63" s="7" t="str">
        <f aca="false">IF(AC63="","",IF(OR(AC63&gt;20,AC63&lt;0.2),"REVIEW","ok"))</f>
        <v>ok</v>
      </c>
      <c r="AE63" s="11" t="n">
        <f aca="false">INDEX(Reference!$E$18:$E$22,MATCH(D63,Reference!$A$18:$A$22,0))</f>
        <v>131.46</v>
      </c>
      <c r="AF63" s="13" t="n">
        <f aca="false">IF(AND(Y63=1,P63&lt;&gt;"",AE63&gt;0),P63/AE63,"")</f>
        <v>3.01970181043663</v>
      </c>
      <c r="AG63" s="7"/>
      <c r="AH63" s="7" t="s">
        <v>419</v>
      </c>
    </row>
    <row r="64" customFormat="false" ht="15" hidden="false" customHeight="false" outlineLevel="0" collapsed="false">
      <c r="A64" s="7" t="n">
        <v>63</v>
      </c>
      <c r="B64" s="7" t="s">
        <v>91</v>
      </c>
      <c r="C64" s="7" t="s">
        <v>408</v>
      </c>
      <c r="D64" s="7" t="s">
        <v>98</v>
      </c>
      <c r="E64" s="7"/>
      <c r="F64" s="7"/>
      <c r="G64" s="7"/>
      <c r="H64" s="7"/>
      <c r="I64" s="7" t="s">
        <v>191</v>
      </c>
      <c r="J64" s="7" t="s">
        <v>409</v>
      </c>
      <c r="K64" s="7"/>
      <c r="L64" s="7" t="s">
        <v>410</v>
      </c>
      <c r="M64" s="8" t="n">
        <v>3672</v>
      </c>
      <c r="N64" s="8"/>
      <c r="O64" s="7"/>
      <c r="P64" s="8"/>
      <c r="Q64" s="7"/>
      <c r="R64" s="7" t="n">
        <v>0</v>
      </c>
      <c r="S64" s="8"/>
      <c r="T64" s="8"/>
      <c r="U64" s="8"/>
      <c r="V64" s="7"/>
      <c r="W64" s="8" t="str">
        <f aca="false">IF(S64&lt;&gt;"",S64,IF(P64&lt;&gt;"",P64,""))</f>
        <v/>
      </c>
      <c r="X64" s="7" t="str">
        <f aca="false">IF(S64&lt;&gt;"","median allowed",IF(P64&lt;&gt;"","negotiated",""))</f>
        <v/>
      </c>
      <c r="Y64" s="7" t="n">
        <v>0</v>
      </c>
      <c r="Z64" s="7" t="s">
        <v>260</v>
      </c>
      <c r="AA64" s="11" t="n">
        <f aca="false">Reference!$E$19</f>
        <v>135.93</v>
      </c>
      <c r="AB64" s="7" t="s">
        <v>343</v>
      </c>
      <c r="AC64" s="13" t="str">
        <f aca="false">IF(AND(Y64=1,P64&lt;&gt;"",AA64&gt;0),P64/AA64,"")</f>
        <v/>
      </c>
      <c r="AD64" s="7" t="str">
        <f aca="false">IF(AC64="","",IF(OR(AC64&gt;20,AC64&lt;0.2),"REVIEW","ok"))</f>
        <v/>
      </c>
      <c r="AE64" s="11" t="n">
        <f aca="false">INDEX(Reference!$E$18:$E$22,MATCH(D64,Reference!$A$18:$A$22,0))</f>
        <v>135.93</v>
      </c>
      <c r="AF64" s="13" t="str">
        <f aca="false">IF(AND(Y64=1,P64&lt;&gt;"",AE64&gt;0),P64/AE64,"")</f>
        <v/>
      </c>
      <c r="AG64" s="7"/>
      <c r="AH64" s="7" t="s">
        <v>420</v>
      </c>
    </row>
    <row r="65" customFormat="false" ht="15" hidden="false" customHeight="false" outlineLevel="0" collapsed="false">
      <c r="A65" s="7" t="n">
        <v>64</v>
      </c>
      <c r="B65" s="7" t="s">
        <v>91</v>
      </c>
      <c r="C65" s="7" t="s">
        <v>408</v>
      </c>
      <c r="D65" s="7" t="s">
        <v>98</v>
      </c>
      <c r="E65" s="7" t="s">
        <v>93</v>
      </c>
      <c r="F65" s="7" t="s">
        <v>67</v>
      </c>
      <c r="G65" s="7" t="s">
        <v>43</v>
      </c>
      <c r="H65" s="7" t="s">
        <v>141</v>
      </c>
      <c r="I65" s="7" t="s">
        <v>188</v>
      </c>
      <c r="J65" s="7" t="s">
        <v>409</v>
      </c>
      <c r="K65" s="7" t="s">
        <v>189</v>
      </c>
      <c r="L65" s="7" t="s">
        <v>341</v>
      </c>
      <c r="M65" s="8"/>
      <c r="N65" s="8" t="n">
        <v>255.23</v>
      </c>
      <c r="O65" s="7"/>
      <c r="P65" s="8" t="n">
        <v>255.23</v>
      </c>
      <c r="Q65" s="7" t="s">
        <v>342</v>
      </c>
      <c r="R65" s="7" t="n">
        <v>0</v>
      </c>
      <c r="S65" s="8"/>
      <c r="T65" s="8"/>
      <c r="U65" s="8"/>
      <c r="V65" s="7"/>
      <c r="W65" s="8" t="n">
        <f aca="false">IF(S65&lt;&gt;"",S65,IF(P65&lt;&gt;"",P65,""))</f>
        <v>255.23</v>
      </c>
      <c r="X65" s="7" t="str">
        <f aca="false">IF(S65&lt;&gt;"","median allowed",IF(P65&lt;&gt;"","negotiated",""))</f>
        <v>negotiated</v>
      </c>
      <c r="Y65" s="7" t="n">
        <v>1</v>
      </c>
      <c r="Z65" s="7"/>
      <c r="AA65" s="11" t="n">
        <f aca="false">Reference!$E$19</f>
        <v>135.93</v>
      </c>
      <c r="AB65" s="7" t="s">
        <v>343</v>
      </c>
      <c r="AC65" s="13" t="n">
        <f aca="false">IF(AND(Y65=1,P65&lt;&gt;"",AA65&gt;0),P65/AA65,"")</f>
        <v>1.87765761789156</v>
      </c>
      <c r="AD65" s="7" t="str">
        <f aca="false">IF(AC65="","",IF(OR(AC65&gt;20,AC65&lt;0.2),"REVIEW","ok"))</f>
        <v>ok</v>
      </c>
      <c r="AE65" s="11" t="n">
        <f aca="false">INDEX(Reference!$E$18:$E$22,MATCH(D65,Reference!$A$18:$A$22,0))</f>
        <v>135.93</v>
      </c>
      <c r="AF65" s="13" t="n">
        <f aca="false">IF(AND(Y65=1,P65&lt;&gt;"",AE65&gt;0),P65/AE65,"")</f>
        <v>1.87765761789156</v>
      </c>
      <c r="AG65" s="7"/>
      <c r="AH65" s="7" t="s">
        <v>421</v>
      </c>
    </row>
    <row r="66" customFormat="false" ht="15" hidden="false" customHeight="false" outlineLevel="0" collapsed="false">
      <c r="A66" s="7" t="n">
        <v>65</v>
      </c>
      <c r="B66" s="7" t="s">
        <v>91</v>
      </c>
      <c r="C66" s="7" t="s">
        <v>408</v>
      </c>
      <c r="D66" s="7" t="s">
        <v>98</v>
      </c>
      <c r="E66" s="7" t="s">
        <v>93</v>
      </c>
      <c r="F66" s="7" t="s">
        <v>67</v>
      </c>
      <c r="G66" s="7" t="s">
        <v>43</v>
      </c>
      <c r="H66" s="7" t="s">
        <v>142</v>
      </c>
      <c r="I66" s="7" t="s">
        <v>188</v>
      </c>
      <c r="J66" s="7" t="s">
        <v>409</v>
      </c>
      <c r="K66" s="7" t="s">
        <v>189</v>
      </c>
      <c r="L66" s="7" t="s">
        <v>341</v>
      </c>
      <c r="M66" s="8"/>
      <c r="N66" s="8" t="n">
        <v>266.92</v>
      </c>
      <c r="O66" s="7"/>
      <c r="P66" s="8" t="n">
        <v>266.92</v>
      </c>
      <c r="Q66" s="7" t="s">
        <v>342</v>
      </c>
      <c r="R66" s="7" t="n">
        <v>0</v>
      </c>
      <c r="S66" s="8"/>
      <c r="T66" s="8"/>
      <c r="U66" s="8"/>
      <c r="V66" s="7"/>
      <c r="W66" s="8" t="n">
        <f aca="false">IF(S66&lt;&gt;"",S66,IF(P66&lt;&gt;"",P66,""))</f>
        <v>266.92</v>
      </c>
      <c r="X66" s="7" t="str">
        <f aca="false">IF(S66&lt;&gt;"","median allowed",IF(P66&lt;&gt;"","negotiated",""))</f>
        <v>negotiated</v>
      </c>
      <c r="Y66" s="7" t="n">
        <v>1</v>
      </c>
      <c r="Z66" s="7"/>
      <c r="AA66" s="11" t="n">
        <f aca="false">Reference!$E$19</f>
        <v>135.93</v>
      </c>
      <c r="AB66" s="7" t="s">
        <v>343</v>
      </c>
      <c r="AC66" s="13" t="n">
        <f aca="false">IF(AND(Y66=1,P66&lt;&gt;"",AA66&gt;0),P66/AA66,"")</f>
        <v>1.96365776502612</v>
      </c>
      <c r="AD66" s="7" t="str">
        <f aca="false">IF(AC66="","",IF(OR(AC66&gt;20,AC66&lt;0.2),"REVIEW","ok"))</f>
        <v>ok</v>
      </c>
      <c r="AE66" s="11" t="n">
        <f aca="false">INDEX(Reference!$E$18:$E$22,MATCH(D66,Reference!$A$18:$A$22,0))</f>
        <v>135.93</v>
      </c>
      <c r="AF66" s="13" t="n">
        <f aca="false">IF(AND(Y66=1,P66&lt;&gt;"",AE66&gt;0),P66/AE66,"")</f>
        <v>1.96365776502612</v>
      </c>
      <c r="AG66" s="7"/>
      <c r="AH66" s="7" t="s">
        <v>422</v>
      </c>
    </row>
    <row r="67" customFormat="false" ht="15" hidden="false" customHeight="false" outlineLevel="0" collapsed="false">
      <c r="A67" s="7" t="n">
        <v>66</v>
      </c>
      <c r="B67" s="7" t="s">
        <v>91</v>
      </c>
      <c r="C67" s="7" t="s">
        <v>408</v>
      </c>
      <c r="D67" s="7" t="s">
        <v>98</v>
      </c>
      <c r="E67" s="7" t="s">
        <v>94</v>
      </c>
      <c r="F67" s="7" t="s">
        <v>95</v>
      </c>
      <c r="G67" s="7" t="s">
        <v>43</v>
      </c>
      <c r="H67" s="7" t="s">
        <v>143</v>
      </c>
      <c r="I67" s="7" t="s">
        <v>188</v>
      </c>
      <c r="J67" s="7" t="s">
        <v>409</v>
      </c>
      <c r="K67" s="7" t="s">
        <v>189</v>
      </c>
      <c r="L67" s="7" t="s">
        <v>341</v>
      </c>
      <c r="M67" s="8"/>
      <c r="N67" s="8" t="n">
        <v>310.92</v>
      </c>
      <c r="O67" s="7"/>
      <c r="P67" s="8" t="n">
        <v>310.92</v>
      </c>
      <c r="Q67" s="7" t="s">
        <v>342</v>
      </c>
      <c r="R67" s="7" t="n">
        <v>0</v>
      </c>
      <c r="S67" s="8"/>
      <c r="T67" s="8"/>
      <c r="U67" s="8"/>
      <c r="V67" s="7"/>
      <c r="W67" s="8" t="n">
        <f aca="false">IF(S67&lt;&gt;"",S67,IF(P67&lt;&gt;"",P67,""))</f>
        <v>310.92</v>
      </c>
      <c r="X67" s="7" t="str">
        <f aca="false">IF(S67&lt;&gt;"","median allowed",IF(P67&lt;&gt;"","negotiated",""))</f>
        <v>negotiated</v>
      </c>
      <c r="Y67" s="7" t="n">
        <v>1</v>
      </c>
      <c r="Z67" s="7"/>
      <c r="AA67" s="11" t="n">
        <f aca="false">Reference!$E$19</f>
        <v>135.93</v>
      </c>
      <c r="AB67" s="7" t="s">
        <v>343</v>
      </c>
      <c r="AC67" s="13" t="n">
        <f aca="false">IF(AND(Y67=1,P67&lt;&gt;"",AA67&gt;0),P67/AA67,"")</f>
        <v>2.28735378503642</v>
      </c>
      <c r="AD67" s="7" t="str">
        <f aca="false">IF(AC67="","",IF(OR(AC67&gt;20,AC67&lt;0.2),"REVIEW","ok"))</f>
        <v>ok</v>
      </c>
      <c r="AE67" s="11" t="n">
        <f aca="false">INDEX(Reference!$E$18:$E$22,MATCH(D67,Reference!$A$18:$A$22,0))</f>
        <v>135.93</v>
      </c>
      <c r="AF67" s="13" t="n">
        <f aca="false">IF(AND(Y67=1,P67&lt;&gt;"",AE67&gt;0),P67/AE67,"")</f>
        <v>2.28735378503642</v>
      </c>
      <c r="AG67" s="7"/>
      <c r="AH67" s="7" t="s">
        <v>423</v>
      </c>
    </row>
    <row r="68" customFormat="false" ht="15" hidden="false" customHeight="false" outlineLevel="0" collapsed="false">
      <c r="A68" s="7" t="n">
        <v>67</v>
      </c>
      <c r="B68" s="7" t="s">
        <v>91</v>
      </c>
      <c r="C68" s="7" t="s">
        <v>408</v>
      </c>
      <c r="D68" s="7" t="s">
        <v>45</v>
      </c>
      <c r="E68" s="7"/>
      <c r="F68" s="7"/>
      <c r="G68" s="7"/>
      <c r="H68" s="7"/>
      <c r="I68" s="7" t="s">
        <v>191</v>
      </c>
      <c r="J68" s="7" t="s">
        <v>409</v>
      </c>
      <c r="K68" s="7"/>
      <c r="L68" s="7" t="s">
        <v>410</v>
      </c>
      <c r="M68" s="8" t="n">
        <v>3088</v>
      </c>
      <c r="N68" s="8"/>
      <c r="O68" s="7"/>
      <c r="P68" s="8"/>
      <c r="Q68" s="7"/>
      <c r="R68" s="7" t="n">
        <v>0</v>
      </c>
      <c r="S68" s="8"/>
      <c r="T68" s="8"/>
      <c r="U68" s="8"/>
      <c r="V68" s="7"/>
      <c r="W68" s="8" t="str">
        <f aca="false">IF(S68&lt;&gt;"",S68,IF(P68&lt;&gt;"",P68,""))</f>
        <v/>
      </c>
      <c r="X68" s="7" t="str">
        <f aca="false">IF(S68&lt;&gt;"","median allowed",IF(P68&lt;&gt;"","negotiated",""))</f>
        <v/>
      </c>
      <c r="Y68" s="7" t="n">
        <v>0</v>
      </c>
      <c r="Z68" s="7" t="s">
        <v>260</v>
      </c>
      <c r="AA68" s="11" t="n">
        <f aca="false">Reference!$E$20</f>
        <v>135.93</v>
      </c>
      <c r="AB68" s="7" t="s">
        <v>343</v>
      </c>
      <c r="AC68" s="13" t="str">
        <f aca="false">IF(AND(Y68=1,P68&lt;&gt;"",AA68&gt;0),P68/AA68,"")</f>
        <v/>
      </c>
      <c r="AD68" s="7" t="str">
        <f aca="false">IF(AC68="","",IF(OR(AC68&gt;20,AC68&lt;0.2),"REVIEW","ok"))</f>
        <v/>
      </c>
      <c r="AE68" s="11" t="n">
        <f aca="false">INDEX(Reference!$E$18:$E$22,MATCH(D68,Reference!$A$18:$A$22,0))</f>
        <v>135.93</v>
      </c>
      <c r="AF68" s="13" t="str">
        <f aca="false">IF(AND(Y68=1,P68&lt;&gt;"",AE68&gt;0),P68/AE68,"")</f>
        <v/>
      </c>
      <c r="AG68" s="7"/>
      <c r="AH68" s="7" t="s">
        <v>424</v>
      </c>
    </row>
    <row r="69" customFormat="false" ht="15" hidden="false" customHeight="false" outlineLevel="0" collapsed="false">
      <c r="A69" s="7" t="n">
        <v>68</v>
      </c>
      <c r="B69" s="7" t="s">
        <v>91</v>
      </c>
      <c r="C69" s="7" t="s">
        <v>408</v>
      </c>
      <c r="D69" s="7" t="s">
        <v>45</v>
      </c>
      <c r="E69" s="7" t="s">
        <v>93</v>
      </c>
      <c r="F69" s="7" t="s">
        <v>67</v>
      </c>
      <c r="G69" s="7" t="s">
        <v>43</v>
      </c>
      <c r="H69" s="7" t="s">
        <v>141</v>
      </c>
      <c r="I69" s="7" t="s">
        <v>188</v>
      </c>
      <c r="J69" s="7" t="s">
        <v>409</v>
      </c>
      <c r="K69" s="7" t="s">
        <v>189</v>
      </c>
      <c r="L69" s="7" t="s">
        <v>341</v>
      </c>
      <c r="M69" s="8"/>
      <c r="N69" s="8" t="n">
        <v>255.23</v>
      </c>
      <c r="O69" s="7"/>
      <c r="P69" s="8" t="n">
        <v>255.23</v>
      </c>
      <c r="Q69" s="7" t="s">
        <v>342</v>
      </c>
      <c r="R69" s="7" t="n">
        <v>0</v>
      </c>
      <c r="S69" s="8"/>
      <c r="T69" s="8"/>
      <c r="U69" s="8"/>
      <c r="V69" s="7"/>
      <c r="W69" s="8" t="n">
        <f aca="false">IF(S69&lt;&gt;"",S69,IF(P69&lt;&gt;"",P69,""))</f>
        <v>255.23</v>
      </c>
      <c r="X69" s="7" t="str">
        <f aca="false">IF(S69&lt;&gt;"","median allowed",IF(P69&lt;&gt;"","negotiated",""))</f>
        <v>negotiated</v>
      </c>
      <c r="Y69" s="7" t="n">
        <v>1</v>
      </c>
      <c r="Z69" s="7"/>
      <c r="AA69" s="11" t="n">
        <f aca="false">Reference!$E$20</f>
        <v>135.93</v>
      </c>
      <c r="AB69" s="7" t="s">
        <v>343</v>
      </c>
      <c r="AC69" s="13" t="n">
        <f aca="false">IF(AND(Y69=1,P69&lt;&gt;"",AA69&gt;0),P69/AA69,"")</f>
        <v>1.87765761789156</v>
      </c>
      <c r="AD69" s="7" t="str">
        <f aca="false">IF(AC69="","",IF(OR(AC69&gt;20,AC69&lt;0.2),"REVIEW","ok"))</f>
        <v>ok</v>
      </c>
      <c r="AE69" s="11" t="n">
        <f aca="false">INDEX(Reference!$E$18:$E$22,MATCH(D69,Reference!$A$18:$A$22,0))</f>
        <v>135.93</v>
      </c>
      <c r="AF69" s="13" t="n">
        <f aca="false">IF(AND(Y69=1,P69&lt;&gt;"",AE69&gt;0),P69/AE69,"")</f>
        <v>1.87765761789156</v>
      </c>
      <c r="AG69" s="7"/>
      <c r="AH69" s="7" t="s">
        <v>425</v>
      </c>
    </row>
    <row r="70" customFormat="false" ht="15" hidden="false" customHeight="false" outlineLevel="0" collapsed="false">
      <c r="A70" s="7" t="n">
        <v>69</v>
      </c>
      <c r="B70" s="7" t="s">
        <v>91</v>
      </c>
      <c r="C70" s="7" t="s">
        <v>408</v>
      </c>
      <c r="D70" s="7" t="s">
        <v>45</v>
      </c>
      <c r="E70" s="7" t="s">
        <v>93</v>
      </c>
      <c r="F70" s="7" t="s">
        <v>67</v>
      </c>
      <c r="G70" s="7" t="s">
        <v>43</v>
      </c>
      <c r="H70" s="7" t="s">
        <v>142</v>
      </c>
      <c r="I70" s="7" t="s">
        <v>188</v>
      </c>
      <c r="J70" s="7" t="s">
        <v>409</v>
      </c>
      <c r="K70" s="7" t="s">
        <v>189</v>
      </c>
      <c r="L70" s="7" t="s">
        <v>341</v>
      </c>
      <c r="M70" s="8"/>
      <c r="N70" s="8" t="n">
        <v>266.92</v>
      </c>
      <c r="O70" s="7"/>
      <c r="P70" s="8" t="n">
        <v>266.92</v>
      </c>
      <c r="Q70" s="7" t="s">
        <v>342</v>
      </c>
      <c r="R70" s="7" t="n">
        <v>0</v>
      </c>
      <c r="S70" s="8"/>
      <c r="T70" s="8"/>
      <c r="U70" s="8"/>
      <c r="V70" s="7"/>
      <c r="W70" s="8" t="n">
        <f aca="false">IF(S70&lt;&gt;"",S70,IF(P70&lt;&gt;"",P70,""))</f>
        <v>266.92</v>
      </c>
      <c r="X70" s="7" t="str">
        <f aca="false">IF(S70&lt;&gt;"","median allowed",IF(P70&lt;&gt;"","negotiated",""))</f>
        <v>negotiated</v>
      </c>
      <c r="Y70" s="7" t="n">
        <v>1</v>
      </c>
      <c r="Z70" s="7"/>
      <c r="AA70" s="11" t="n">
        <f aca="false">Reference!$E$20</f>
        <v>135.93</v>
      </c>
      <c r="AB70" s="7" t="s">
        <v>343</v>
      </c>
      <c r="AC70" s="13" t="n">
        <f aca="false">IF(AND(Y70=1,P70&lt;&gt;"",AA70&gt;0),P70/AA70,"")</f>
        <v>1.96365776502612</v>
      </c>
      <c r="AD70" s="7" t="str">
        <f aca="false">IF(AC70="","",IF(OR(AC70&gt;20,AC70&lt;0.2),"REVIEW","ok"))</f>
        <v>ok</v>
      </c>
      <c r="AE70" s="11" t="n">
        <f aca="false">INDEX(Reference!$E$18:$E$22,MATCH(D70,Reference!$A$18:$A$22,0))</f>
        <v>135.93</v>
      </c>
      <c r="AF70" s="13" t="n">
        <f aca="false">IF(AND(Y70=1,P70&lt;&gt;"",AE70&gt;0),P70/AE70,"")</f>
        <v>1.96365776502612</v>
      </c>
      <c r="AG70" s="7"/>
      <c r="AH70" s="7" t="s">
        <v>426</v>
      </c>
    </row>
    <row r="71" customFormat="false" ht="15" hidden="false" customHeight="false" outlineLevel="0" collapsed="false">
      <c r="A71" s="7" t="n">
        <v>70</v>
      </c>
      <c r="B71" s="7" t="s">
        <v>91</v>
      </c>
      <c r="C71" s="7" t="s">
        <v>408</v>
      </c>
      <c r="D71" s="7" t="s">
        <v>45</v>
      </c>
      <c r="E71" s="7" t="s">
        <v>94</v>
      </c>
      <c r="F71" s="7" t="s">
        <v>95</v>
      </c>
      <c r="G71" s="7" t="s">
        <v>43</v>
      </c>
      <c r="H71" s="7" t="s">
        <v>143</v>
      </c>
      <c r="I71" s="7" t="s">
        <v>188</v>
      </c>
      <c r="J71" s="7" t="s">
        <v>409</v>
      </c>
      <c r="K71" s="7" t="s">
        <v>189</v>
      </c>
      <c r="L71" s="7" t="s">
        <v>341</v>
      </c>
      <c r="M71" s="8"/>
      <c r="N71" s="8" t="n">
        <v>310.92</v>
      </c>
      <c r="O71" s="7"/>
      <c r="P71" s="8" t="n">
        <v>310.92</v>
      </c>
      <c r="Q71" s="7" t="s">
        <v>342</v>
      </c>
      <c r="R71" s="7" t="n">
        <v>0</v>
      </c>
      <c r="S71" s="8"/>
      <c r="T71" s="8"/>
      <c r="U71" s="8"/>
      <c r="V71" s="7"/>
      <c r="W71" s="8" t="n">
        <f aca="false">IF(S71&lt;&gt;"",S71,IF(P71&lt;&gt;"",P71,""))</f>
        <v>310.92</v>
      </c>
      <c r="X71" s="7" t="str">
        <f aca="false">IF(S71&lt;&gt;"","median allowed",IF(P71&lt;&gt;"","negotiated",""))</f>
        <v>negotiated</v>
      </c>
      <c r="Y71" s="7" t="n">
        <v>1</v>
      </c>
      <c r="Z71" s="7"/>
      <c r="AA71" s="11" t="n">
        <f aca="false">Reference!$E$20</f>
        <v>135.93</v>
      </c>
      <c r="AB71" s="7" t="s">
        <v>343</v>
      </c>
      <c r="AC71" s="13" t="n">
        <f aca="false">IF(AND(Y71=1,P71&lt;&gt;"",AA71&gt;0),P71/AA71,"")</f>
        <v>2.28735378503642</v>
      </c>
      <c r="AD71" s="7" t="str">
        <f aca="false">IF(AC71="","",IF(OR(AC71&gt;20,AC71&lt;0.2),"REVIEW","ok"))</f>
        <v>ok</v>
      </c>
      <c r="AE71" s="11" t="n">
        <f aca="false">INDEX(Reference!$E$18:$E$22,MATCH(D71,Reference!$A$18:$A$22,0))</f>
        <v>135.93</v>
      </c>
      <c r="AF71" s="13" t="n">
        <f aca="false">IF(AND(Y71=1,P71&lt;&gt;"",AE71&gt;0),P71/AE71,"")</f>
        <v>2.28735378503642</v>
      </c>
      <c r="AG71" s="7"/>
      <c r="AH71" s="7" t="s">
        <v>427</v>
      </c>
    </row>
    <row r="72" customFormat="false" ht="15" hidden="false" customHeight="false" outlineLevel="0" collapsed="false">
      <c r="A72" s="7" t="n">
        <v>71</v>
      </c>
      <c r="B72" s="7" t="s">
        <v>91</v>
      </c>
      <c r="C72" s="7" t="s">
        <v>408</v>
      </c>
      <c r="D72" s="7" t="s">
        <v>60</v>
      </c>
      <c r="E72" s="7"/>
      <c r="F72" s="7"/>
      <c r="G72" s="7"/>
      <c r="H72" s="7"/>
      <c r="I72" s="7" t="s">
        <v>191</v>
      </c>
      <c r="J72" s="7" t="s">
        <v>409</v>
      </c>
      <c r="K72" s="7"/>
      <c r="L72" s="7" t="s">
        <v>410</v>
      </c>
      <c r="M72" s="8" t="n">
        <v>1097</v>
      </c>
      <c r="N72" s="8"/>
      <c r="O72" s="7"/>
      <c r="P72" s="8"/>
      <c r="Q72" s="7"/>
      <c r="R72" s="7" t="n">
        <v>0</v>
      </c>
      <c r="S72" s="8"/>
      <c r="T72" s="8"/>
      <c r="U72" s="8"/>
      <c r="V72" s="7"/>
      <c r="W72" s="8" t="str">
        <f aca="false">IF(S72&lt;&gt;"",S72,IF(P72&lt;&gt;"",P72,""))</f>
        <v/>
      </c>
      <c r="X72" s="7" t="str">
        <f aca="false">IF(S72&lt;&gt;"","median allowed",IF(P72&lt;&gt;"","negotiated",""))</f>
        <v/>
      </c>
      <c r="Y72" s="7" t="n">
        <v>0</v>
      </c>
      <c r="Z72" s="7" t="s">
        <v>260</v>
      </c>
      <c r="AA72" s="11" t="n">
        <f aca="false">Reference!$E$21</f>
        <v>220.6</v>
      </c>
      <c r="AB72" s="7" t="s">
        <v>343</v>
      </c>
      <c r="AC72" s="13" t="str">
        <f aca="false">IF(AND(Y72=1,P72&lt;&gt;"",AA72&gt;0),P72/AA72,"")</f>
        <v/>
      </c>
      <c r="AD72" s="7" t="str">
        <f aca="false">IF(AC72="","",IF(OR(AC72&gt;20,AC72&lt;0.2),"REVIEW","ok"))</f>
        <v/>
      </c>
      <c r="AE72" s="11" t="n">
        <f aca="false">INDEX(Reference!$E$18:$E$22,MATCH(D72,Reference!$A$18:$A$22,0))</f>
        <v>220.6</v>
      </c>
      <c r="AF72" s="13" t="str">
        <f aca="false">IF(AND(Y72=1,P72&lt;&gt;"",AE72&gt;0),P72/AE72,"")</f>
        <v/>
      </c>
      <c r="AG72" s="7"/>
      <c r="AH72" s="7" t="s">
        <v>428</v>
      </c>
    </row>
    <row r="73" customFormat="false" ht="15" hidden="false" customHeight="false" outlineLevel="0" collapsed="false">
      <c r="A73" s="7" t="n">
        <v>72</v>
      </c>
      <c r="B73" s="7" t="s">
        <v>91</v>
      </c>
      <c r="C73" s="7" t="s">
        <v>408</v>
      </c>
      <c r="D73" s="7" t="s">
        <v>60</v>
      </c>
      <c r="E73" s="7" t="s">
        <v>93</v>
      </c>
      <c r="F73" s="7" t="s">
        <v>67</v>
      </c>
      <c r="G73" s="7" t="s">
        <v>43</v>
      </c>
      <c r="H73" s="7" t="s">
        <v>141</v>
      </c>
      <c r="I73" s="7" t="s">
        <v>188</v>
      </c>
      <c r="J73" s="7" t="s">
        <v>409</v>
      </c>
      <c r="K73" s="7" t="s">
        <v>189</v>
      </c>
      <c r="L73" s="7" t="s">
        <v>341</v>
      </c>
      <c r="M73" s="8"/>
      <c r="N73" s="8" t="n">
        <v>325.87</v>
      </c>
      <c r="O73" s="7"/>
      <c r="P73" s="8" t="n">
        <v>325.87</v>
      </c>
      <c r="Q73" s="7" t="s">
        <v>342</v>
      </c>
      <c r="R73" s="7" t="n">
        <v>0</v>
      </c>
      <c r="S73" s="8"/>
      <c r="T73" s="8"/>
      <c r="U73" s="8"/>
      <c r="V73" s="7"/>
      <c r="W73" s="8" t="n">
        <f aca="false">IF(S73&lt;&gt;"",S73,IF(P73&lt;&gt;"",P73,""))</f>
        <v>325.87</v>
      </c>
      <c r="X73" s="7" t="str">
        <f aca="false">IF(S73&lt;&gt;"","median allowed",IF(P73&lt;&gt;"","negotiated",""))</f>
        <v>negotiated</v>
      </c>
      <c r="Y73" s="7" t="n">
        <v>1</v>
      </c>
      <c r="Z73" s="7"/>
      <c r="AA73" s="11" t="n">
        <f aca="false">Reference!$E$21</f>
        <v>220.6</v>
      </c>
      <c r="AB73" s="7" t="s">
        <v>343</v>
      </c>
      <c r="AC73" s="13" t="n">
        <f aca="false">IF(AND(Y73=1,P73&lt;&gt;"",AA73&gt;0),P73/AA73,"")</f>
        <v>1.4771985494107</v>
      </c>
      <c r="AD73" s="7" t="str">
        <f aca="false">IF(AC73="","",IF(OR(AC73&gt;20,AC73&lt;0.2),"REVIEW","ok"))</f>
        <v>ok</v>
      </c>
      <c r="AE73" s="11" t="n">
        <f aca="false">INDEX(Reference!$E$18:$E$22,MATCH(D73,Reference!$A$18:$A$22,0))</f>
        <v>220.6</v>
      </c>
      <c r="AF73" s="13" t="n">
        <f aca="false">IF(AND(Y73=1,P73&lt;&gt;"",AE73&gt;0),P73/AE73,"")</f>
        <v>1.4771985494107</v>
      </c>
      <c r="AG73" s="7"/>
      <c r="AH73" s="7" t="s">
        <v>429</v>
      </c>
    </row>
    <row r="74" customFormat="false" ht="15" hidden="false" customHeight="false" outlineLevel="0" collapsed="false">
      <c r="A74" s="7" t="n">
        <v>73</v>
      </c>
      <c r="B74" s="7" t="s">
        <v>91</v>
      </c>
      <c r="C74" s="7" t="s">
        <v>408</v>
      </c>
      <c r="D74" s="7" t="s">
        <v>60</v>
      </c>
      <c r="E74" s="7" t="s">
        <v>93</v>
      </c>
      <c r="F74" s="7" t="s">
        <v>67</v>
      </c>
      <c r="G74" s="7" t="s">
        <v>43</v>
      </c>
      <c r="H74" s="7" t="s">
        <v>142</v>
      </c>
      <c r="I74" s="7" t="s">
        <v>188</v>
      </c>
      <c r="J74" s="7" t="s">
        <v>409</v>
      </c>
      <c r="K74" s="7" t="s">
        <v>189</v>
      </c>
      <c r="L74" s="7" t="s">
        <v>341</v>
      </c>
      <c r="M74" s="8"/>
      <c r="N74" s="8" t="n">
        <v>340.79</v>
      </c>
      <c r="O74" s="7"/>
      <c r="P74" s="8" t="n">
        <v>340.79</v>
      </c>
      <c r="Q74" s="7" t="s">
        <v>342</v>
      </c>
      <c r="R74" s="7" t="n">
        <v>0</v>
      </c>
      <c r="S74" s="8"/>
      <c r="T74" s="8"/>
      <c r="U74" s="8"/>
      <c r="V74" s="7"/>
      <c r="W74" s="8" t="n">
        <f aca="false">IF(S74&lt;&gt;"",S74,IF(P74&lt;&gt;"",P74,""))</f>
        <v>340.79</v>
      </c>
      <c r="X74" s="7" t="str">
        <f aca="false">IF(S74&lt;&gt;"","median allowed",IF(P74&lt;&gt;"","negotiated",""))</f>
        <v>negotiated</v>
      </c>
      <c r="Y74" s="7" t="n">
        <v>1</v>
      </c>
      <c r="Z74" s="7"/>
      <c r="AA74" s="11" t="n">
        <f aca="false">Reference!$E$21</f>
        <v>220.6</v>
      </c>
      <c r="AB74" s="7" t="s">
        <v>343</v>
      </c>
      <c r="AC74" s="13" t="n">
        <f aca="false">IF(AND(Y74=1,P74&lt;&gt;"",AA74&gt;0),P74/AA74,"")</f>
        <v>1.54483227561197</v>
      </c>
      <c r="AD74" s="7" t="str">
        <f aca="false">IF(AC74="","",IF(OR(AC74&gt;20,AC74&lt;0.2),"REVIEW","ok"))</f>
        <v>ok</v>
      </c>
      <c r="AE74" s="11" t="n">
        <f aca="false">INDEX(Reference!$E$18:$E$22,MATCH(D74,Reference!$A$18:$A$22,0))</f>
        <v>220.6</v>
      </c>
      <c r="AF74" s="13" t="n">
        <f aca="false">IF(AND(Y74=1,P74&lt;&gt;"",AE74&gt;0),P74/AE74,"")</f>
        <v>1.54483227561197</v>
      </c>
      <c r="AG74" s="7"/>
      <c r="AH74" s="7" t="s">
        <v>430</v>
      </c>
    </row>
    <row r="75" customFormat="false" ht="15" hidden="false" customHeight="false" outlineLevel="0" collapsed="false">
      <c r="A75" s="7" t="n">
        <v>74</v>
      </c>
      <c r="B75" s="7" t="s">
        <v>91</v>
      </c>
      <c r="C75" s="7" t="s">
        <v>408</v>
      </c>
      <c r="D75" s="7" t="s">
        <v>60</v>
      </c>
      <c r="E75" s="7" t="s">
        <v>94</v>
      </c>
      <c r="F75" s="7" t="s">
        <v>95</v>
      </c>
      <c r="G75" s="7" t="s">
        <v>43</v>
      </c>
      <c r="H75" s="7" t="s">
        <v>143</v>
      </c>
      <c r="I75" s="7" t="s">
        <v>188</v>
      </c>
      <c r="J75" s="7" t="s">
        <v>409</v>
      </c>
      <c r="K75" s="7" t="s">
        <v>189</v>
      </c>
      <c r="L75" s="7" t="s">
        <v>341</v>
      </c>
      <c r="M75" s="8"/>
      <c r="N75" s="8" t="n">
        <v>396.97</v>
      </c>
      <c r="O75" s="7"/>
      <c r="P75" s="8" t="n">
        <v>396.97</v>
      </c>
      <c r="Q75" s="7" t="s">
        <v>342</v>
      </c>
      <c r="R75" s="7" t="n">
        <v>0</v>
      </c>
      <c r="S75" s="8"/>
      <c r="T75" s="8"/>
      <c r="U75" s="8"/>
      <c r="V75" s="7"/>
      <c r="W75" s="8" t="n">
        <f aca="false">IF(S75&lt;&gt;"",S75,IF(P75&lt;&gt;"",P75,""))</f>
        <v>396.97</v>
      </c>
      <c r="X75" s="7" t="str">
        <f aca="false">IF(S75&lt;&gt;"","median allowed",IF(P75&lt;&gt;"","negotiated",""))</f>
        <v>negotiated</v>
      </c>
      <c r="Y75" s="7" t="n">
        <v>1</v>
      </c>
      <c r="Z75" s="7"/>
      <c r="AA75" s="11" t="n">
        <f aca="false">Reference!$E$21</f>
        <v>220.6</v>
      </c>
      <c r="AB75" s="7" t="s">
        <v>343</v>
      </c>
      <c r="AC75" s="13" t="n">
        <f aca="false">IF(AND(Y75=1,P75&lt;&gt;"",AA75&gt;0),P75/AA75,"")</f>
        <v>1.79950135992747</v>
      </c>
      <c r="AD75" s="7" t="str">
        <f aca="false">IF(AC75="","",IF(OR(AC75&gt;20,AC75&lt;0.2),"REVIEW","ok"))</f>
        <v>ok</v>
      </c>
      <c r="AE75" s="11" t="n">
        <f aca="false">INDEX(Reference!$E$18:$E$22,MATCH(D75,Reference!$A$18:$A$22,0))</f>
        <v>220.6</v>
      </c>
      <c r="AF75" s="13" t="n">
        <f aca="false">IF(AND(Y75=1,P75&lt;&gt;"",AE75&gt;0),P75/AE75,"")</f>
        <v>1.79950135992747</v>
      </c>
      <c r="AG75" s="7"/>
      <c r="AH75" s="7" t="s">
        <v>431</v>
      </c>
    </row>
  </sheetData>
  <autoFilter ref="A1:AH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2026-09-23T22:48:30Z</dcterms:created>
  <dc:creator>openpyxl</dc:creator>
  <dc:description/>
  <dc:language>en-US</dc:language>
  <cp:lastModifiedBy/>
  <dcterms:modified xsi:type="dcterms:W3CDTF">2026-09-23T22:48:30Z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